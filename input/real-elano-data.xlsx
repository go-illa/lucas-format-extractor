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FrontDoor-Moataz\Desktop\Orders Plan\"/>
    </mc:Choice>
  </mc:AlternateContent>
  <xr:revisionPtr revIDLastSave="0" documentId="8_{B36D9C7A-BFCA-4E27-B292-A80DDC3D3001}" xr6:coauthVersionLast="47" xr6:coauthVersionMax="47" xr10:uidLastSave="{00000000-0000-0000-0000-000000000000}"/>
  <bookViews>
    <workbookView xWindow="-108" yWindow="-108" windowWidth="23256" windowHeight="12576" activeTab="2" xr2:uid="{FB5CCF00-1B31-4584-A41C-E6E3051C3AE9}"/>
  </bookViews>
  <sheets>
    <sheet name="Sheet1 (2)" sheetId="8" r:id="rId1"/>
    <sheet name="Sheet1" sheetId="6" r:id="rId2"/>
    <sheet name="plan" sheetId="9" r:id="rId3"/>
    <sheet name="check" sheetId="10" r:id="rId4"/>
  </sheets>
  <externalReferences>
    <externalReference r:id="rId5"/>
  </externalReferences>
  <definedNames>
    <definedName name="_xlnm._FilterDatabase" localSheetId="2" hidden="1">plan!$J$1:$N$140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4" i="8" l="1"/>
  <c r="T94" i="8"/>
  <c r="S94" i="8"/>
  <c r="R94" i="8"/>
  <c r="Q94" i="8"/>
  <c r="P94" i="8"/>
  <c r="O94" i="8"/>
  <c r="N94" i="8"/>
  <c r="M94" i="8"/>
  <c r="L94" i="8"/>
  <c r="K94" i="8"/>
  <c r="F94" i="8" s="1"/>
  <c r="V93" i="8"/>
  <c r="B93" i="8"/>
  <c r="V92" i="8"/>
  <c r="B92" i="8"/>
  <c r="V91" i="8"/>
  <c r="B91" i="8"/>
  <c r="V90" i="8"/>
  <c r="B90" i="8"/>
  <c r="V89" i="8"/>
  <c r="B89" i="8"/>
  <c r="V88" i="8"/>
  <c r="B88" i="8"/>
  <c r="V87" i="8"/>
  <c r="B87" i="8"/>
  <c r="V86" i="8"/>
  <c r="B86" i="8"/>
  <c r="V85" i="8"/>
  <c r="B85" i="8"/>
  <c r="V84" i="8"/>
  <c r="B84" i="8"/>
  <c r="V83" i="8"/>
  <c r="B83" i="8"/>
  <c r="V82" i="8"/>
  <c r="B82" i="8"/>
  <c r="V81" i="8"/>
  <c r="B81" i="8"/>
  <c r="V80" i="8"/>
  <c r="B80" i="8"/>
  <c r="V79" i="8"/>
  <c r="B79" i="8"/>
  <c r="V78" i="8"/>
  <c r="B78" i="8"/>
  <c r="V77" i="8"/>
  <c r="B77" i="8"/>
  <c r="V76" i="8"/>
  <c r="B76" i="8"/>
  <c r="V75" i="8"/>
  <c r="B75" i="8"/>
  <c r="V74" i="8"/>
  <c r="B74" i="8"/>
  <c r="V73" i="8"/>
  <c r="B73" i="8"/>
  <c r="V72" i="8"/>
  <c r="B72" i="8"/>
  <c r="V71" i="8"/>
  <c r="B71" i="8"/>
  <c r="V70" i="8"/>
  <c r="B70" i="8"/>
  <c r="V69" i="8"/>
  <c r="B69" i="8"/>
  <c r="V68" i="8"/>
  <c r="B68" i="8"/>
  <c r="V67" i="8"/>
  <c r="B67" i="8"/>
  <c r="V66" i="8"/>
  <c r="B66" i="8"/>
  <c r="V65" i="8"/>
  <c r="B65" i="8"/>
  <c r="V64" i="8"/>
  <c r="B64" i="8"/>
  <c r="V63" i="8"/>
  <c r="B63" i="8"/>
  <c r="V62" i="8"/>
  <c r="B62" i="8"/>
  <c r="V61" i="8"/>
  <c r="B61" i="8"/>
  <c r="V60" i="8"/>
  <c r="B60" i="8"/>
  <c r="V59" i="8"/>
  <c r="B59" i="8"/>
  <c r="V58" i="8"/>
  <c r="B58" i="8"/>
  <c r="V57" i="8"/>
  <c r="B57" i="8"/>
  <c r="V56" i="8"/>
  <c r="B56" i="8"/>
  <c r="V55" i="8"/>
  <c r="B55" i="8"/>
  <c r="V54" i="8"/>
  <c r="B54" i="8"/>
  <c r="V53" i="8"/>
  <c r="B53" i="8"/>
  <c r="V52" i="8"/>
  <c r="B52" i="8"/>
  <c r="V51" i="8"/>
  <c r="B51" i="8"/>
  <c r="V50" i="8"/>
  <c r="B50" i="8"/>
  <c r="V49" i="8"/>
  <c r="B49" i="8"/>
  <c r="V48" i="8"/>
  <c r="B48" i="8"/>
  <c r="V47" i="8"/>
  <c r="B47" i="8"/>
  <c r="V46" i="8"/>
  <c r="B46" i="8"/>
  <c r="V45" i="8"/>
  <c r="B45" i="8"/>
  <c r="V44" i="8"/>
  <c r="B44" i="8"/>
  <c r="V43" i="8"/>
  <c r="B43" i="8"/>
  <c r="V42" i="8"/>
  <c r="B42" i="8"/>
  <c r="V41" i="8"/>
  <c r="B41" i="8"/>
  <c r="V40" i="8"/>
  <c r="B40" i="8"/>
  <c r="V39" i="8"/>
  <c r="B39" i="8"/>
  <c r="V38" i="8"/>
  <c r="B38" i="8"/>
  <c r="V37" i="8"/>
  <c r="B37" i="8"/>
  <c r="V36" i="8"/>
  <c r="B36" i="8"/>
  <c r="V35" i="8"/>
  <c r="B35" i="8"/>
  <c r="V34" i="8"/>
  <c r="B34" i="8"/>
  <c r="V33" i="8"/>
  <c r="B33" i="8"/>
  <c r="V32" i="8"/>
  <c r="B32" i="8"/>
  <c r="V31" i="8"/>
  <c r="B31" i="8"/>
  <c r="V30" i="8"/>
  <c r="B30" i="8"/>
  <c r="V29" i="8"/>
  <c r="B29" i="8"/>
  <c r="V28" i="8"/>
  <c r="B28" i="8"/>
  <c r="V27" i="8"/>
  <c r="B27" i="8"/>
  <c r="V26" i="8"/>
  <c r="B26" i="8"/>
  <c r="V25" i="8"/>
  <c r="B25" i="8"/>
  <c r="V24" i="8"/>
  <c r="B24" i="8"/>
  <c r="V23" i="8"/>
  <c r="B23" i="8"/>
  <c r="V22" i="8"/>
  <c r="B22" i="8"/>
  <c r="V21" i="8"/>
  <c r="B21" i="8"/>
  <c r="V20" i="8"/>
  <c r="B20" i="8"/>
  <c r="V19" i="8"/>
  <c r="J19" i="8"/>
  <c r="I19" i="8"/>
  <c r="G19" i="8"/>
  <c r="F19" i="8"/>
  <c r="B19" i="8"/>
  <c r="V18" i="8"/>
  <c r="B18" i="8"/>
  <c r="V17" i="8"/>
  <c r="B17" i="8"/>
  <c r="V16" i="8"/>
  <c r="B16" i="8"/>
  <c r="V15" i="8"/>
  <c r="B15" i="8"/>
  <c r="V14" i="8"/>
  <c r="B14" i="8"/>
  <c r="V13" i="8"/>
  <c r="B13" i="8"/>
  <c r="V12" i="8"/>
  <c r="B12" i="8"/>
  <c r="AB11" i="8"/>
  <c r="V11" i="8"/>
  <c r="B11" i="8"/>
  <c r="AB10" i="8"/>
  <c r="V10" i="8"/>
  <c r="B10" i="8"/>
  <c r="AB9" i="8"/>
  <c r="V9" i="8"/>
  <c r="B9" i="8"/>
  <c r="V8" i="8"/>
  <c r="B8" i="8"/>
  <c r="AB7" i="8"/>
  <c r="V7" i="8"/>
  <c r="B7" i="8"/>
  <c r="AB6" i="8"/>
  <c r="V6" i="8"/>
  <c r="V94" i="8" s="1"/>
  <c r="B6" i="8"/>
  <c r="V5" i="8"/>
  <c r="B5" i="8"/>
  <c r="U3" i="8"/>
  <c r="AB15" i="8" s="1"/>
  <c r="T3" i="8"/>
  <c r="W3" i="8" s="1"/>
  <c r="S3" i="8"/>
  <c r="AB13" i="8" s="1"/>
  <c r="R3" i="8"/>
  <c r="R1" i="8" s="1"/>
  <c r="Q3" i="8"/>
  <c r="P3" i="8"/>
  <c r="O3" i="8"/>
  <c r="O1" i="8" s="1"/>
  <c r="N3" i="8"/>
  <c r="N1" i="8" s="1"/>
  <c r="M3" i="8"/>
  <c r="M1" i="8" s="1"/>
  <c r="L3" i="8"/>
  <c r="L1" i="8" s="1"/>
  <c r="K3" i="8"/>
  <c r="AB5" i="8" s="1"/>
  <c r="D3" i="8"/>
  <c r="D2" i="8"/>
  <c r="Q1" i="8"/>
  <c r="P1" i="8"/>
  <c r="D1" i="8"/>
  <c r="V3" i="8" l="1"/>
  <c r="K1" i="8"/>
  <c r="X3" i="8"/>
  <c r="Y3" i="8" s="1"/>
  <c r="Z3" i="8" s="1"/>
  <c r="AB8" i="8"/>
  <c r="AB16" i="8" s="1"/>
  <c r="AB12" i="8"/>
  <c r="S1" i="8"/>
  <c r="AB14" i="8"/>
  <c r="V90" i="6"/>
  <c r="V89" i="6"/>
  <c r="V88" i="6"/>
  <c r="V87" i="6"/>
  <c r="V86" i="6"/>
  <c r="B89" i="6"/>
  <c r="B88" i="6"/>
  <c r="B87" i="6"/>
  <c r="B86" i="6"/>
  <c r="K94" i="6"/>
  <c r="L94" i="6"/>
  <c r="M94" i="6"/>
  <c r="N94" i="6"/>
  <c r="O94" i="6"/>
  <c r="P94" i="6"/>
  <c r="Q94" i="6"/>
  <c r="R94" i="6"/>
  <c r="S94" i="6"/>
  <c r="T94" i="6"/>
  <c r="V8" i="6"/>
  <c r="V14" i="6"/>
  <c r="V15" i="6"/>
  <c r="V16" i="6"/>
  <c r="V17" i="6"/>
  <c r="V20" i="6"/>
  <c r="V23" i="6"/>
  <c r="V24" i="6"/>
  <c r="V26" i="6"/>
  <c r="V27" i="6"/>
  <c r="V28" i="6"/>
  <c r="V29" i="6"/>
  <c r="V32" i="6"/>
  <c r="V38" i="6"/>
  <c r="V39" i="6"/>
  <c r="V40" i="6"/>
  <c r="V41" i="6"/>
  <c r="V44" i="6"/>
  <c r="V46" i="6"/>
  <c r="V48" i="6"/>
  <c r="V49" i="6"/>
  <c r="V50" i="6"/>
  <c r="V51" i="6"/>
  <c r="V52" i="6"/>
  <c r="V53" i="6"/>
  <c r="V56" i="6"/>
  <c r="V62" i="6"/>
  <c r="V63" i="6"/>
  <c r="V64" i="6"/>
  <c r="V65" i="6"/>
  <c r="V68" i="6"/>
  <c r="V69" i="6"/>
  <c r="V74" i="6"/>
  <c r="V75" i="6"/>
  <c r="V76" i="6"/>
  <c r="V77" i="6"/>
  <c r="V80" i="6"/>
  <c r="V91" i="6"/>
  <c r="V93" i="6"/>
  <c r="V92" i="6"/>
  <c r="V85" i="6"/>
  <c r="V84" i="6"/>
  <c r="V83" i="6"/>
  <c r="V82" i="6"/>
  <c r="B82" i="6"/>
  <c r="B83" i="6"/>
  <c r="B84" i="6"/>
  <c r="B85" i="6"/>
  <c r="B90" i="6"/>
  <c r="B91" i="6"/>
  <c r="B92" i="6"/>
  <c r="B93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T3" i="6"/>
  <c r="AB14" i="6" s="1"/>
  <c r="S3" i="6"/>
  <c r="R3" i="6"/>
  <c r="Q3" i="6"/>
  <c r="P3" i="6"/>
  <c r="O3" i="6"/>
  <c r="N3" i="6"/>
  <c r="M3" i="6"/>
  <c r="L3" i="6"/>
  <c r="K3" i="6"/>
  <c r="V81" i="6"/>
  <c r="V79" i="6"/>
  <c r="V78" i="6"/>
  <c r="V73" i="6"/>
  <c r="V72" i="6"/>
  <c r="V71" i="6"/>
  <c r="V70" i="6"/>
  <c r="V67" i="6"/>
  <c r="V66" i="6"/>
  <c r="V61" i="6"/>
  <c r="V60" i="6"/>
  <c r="V59" i="6"/>
  <c r="V58" i="6"/>
  <c r="V57" i="6"/>
  <c r="V55" i="6"/>
  <c r="V54" i="6"/>
  <c r="V47" i="6"/>
  <c r="V45" i="6"/>
  <c r="V43" i="6"/>
  <c r="V42" i="6"/>
  <c r="V37" i="6"/>
  <c r="V36" i="6"/>
  <c r="V35" i="6"/>
  <c r="V34" i="6"/>
  <c r="V33" i="6"/>
  <c r="V31" i="6"/>
  <c r="V30" i="6"/>
  <c r="V25" i="6"/>
  <c r="V22" i="6"/>
  <c r="V21" i="6"/>
  <c r="V19" i="6"/>
  <c r="V18" i="6"/>
  <c r="V13" i="6"/>
  <c r="V12" i="6"/>
  <c r="V11" i="6"/>
  <c r="V10" i="6"/>
  <c r="V9" i="6"/>
  <c r="V7" i="6"/>
  <c r="V6" i="6"/>
  <c r="D1" i="6"/>
  <c r="D2" i="6"/>
  <c r="D3" i="6"/>
  <c r="AB5" i="6" l="1"/>
  <c r="K1" i="6"/>
  <c r="AB6" i="6"/>
  <c r="L1" i="6"/>
  <c r="AB8" i="6"/>
  <c r="N1" i="6"/>
  <c r="AB13" i="6"/>
  <c r="S1" i="6"/>
  <c r="AB7" i="6"/>
  <c r="M1" i="6"/>
  <c r="AB10" i="6"/>
  <c r="P1" i="6"/>
  <c r="AB11" i="6"/>
  <c r="Q1" i="6"/>
  <c r="AB12" i="6"/>
  <c r="R1" i="6"/>
  <c r="AB9" i="6"/>
  <c r="O1" i="6"/>
  <c r="F94" i="6"/>
  <c r="U3" i="6"/>
  <c r="AB15" i="6" s="1"/>
  <c r="V5" i="6"/>
  <c r="V94" i="6" s="1"/>
  <c r="U94" i="6"/>
  <c r="W3" i="6"/>
  <c r="V3" i="6" l="1"/>
  <c r="AB16" i="6"/>
  <c r="X3" i="6"/>
  <c r="Y3" i="6" s="1"/>
  <c r="Z3" i="6" s="1"/>
</calcChain>
</file>

<file path=xl/sharedStrings.xml><?xml version="1.0" encoding="utf-8"?>
<sst xmlns="http://schemas.openxmlformats.org/spreadsheetml/2006/main" count="2007" uniqueCount="552">
  <si>
    <t>NO.</t>
  </si>
  <si>
    <t>Date</t>
  </si>
  <si>
    <t>shipment #</t>
  </si>
  <si>
    <t>SO</t>
  </si>
  <si>
    <t>Customer code</t>
  </si>
  <si>
    <t>CI-000962</t>
  </si>
  <si>
    <t>CI-000947</t>
  </si>
  <si>
    <t>CI-000960</t>
  </si>
  <si>
    <t>CI-000974</t>
  </si>
  <si>
    <t>CI-000961</t>
  </si>
  <si>
    <t>CI-000953</t>
  </si>
  <si>
    <t>CI-000971</t>
  </si>
  <si>
    <t>CI-000965</t>
  </si>
  <si>
    <t>CI-002115</t>
  </si>
  <si>
    <t>Cost</t>
  </si>
  <si>
    <t>Customer Name</t>
  </si>
  <si>
    <t>Delivery Hero Carriage pt LLC - Hadaik El Ahram</t>
  </si>
  <si>
    <t>Delivery Hero Carriage pt LLC - El Mokattam</t>
  </si>
  <si>
    <t>Delivery Hero Carriage pt LLC - Helwan</t>
  </si>
  <si>
    <t>Delivery Hero Carriage pt LLC - Ain Shams</t>
  </si>
  <si>
    <t>Delivery Hero Carriage pt LLC - El Zahar</t>
  </si>
  <si>
    <t>Delivery Hero Carriage pt LLC - El saida zeinb</t>
  </si>
  <si>
    <t>Delivery Hero Carriage pt LLC - Shoubra</t>
  </si>
  <si>
    <t>Delivery Hero Carriage pt LLC - Hadaik El Koba</t>
  </si>
  <si>
    <t>Delivery Hero Carriage pt LLC - Lebanon Square</t>
  </si>
  <si>
    <t>Delivery Hero Carriage Egypt LLC - Hadaik octobar</t>
  </si>
  <si>
    <t>Trade chanel</t>
  </si>
  <si>
    <t>Carrefour Outlets</t>
  </si>
  <si>
    <t>Modern Trade</t>
  </si>
  <si>
    <t>Key Retail</t>
  </si>
  <si>
    <t>E - Commerce</t>
  </si>
  <si>
    <t>HoReCa</t>
  </si>
  <si>
    <t>C - Stores</t>
  </si>
  <si>
    <t>Customers Terms of payment</t>
  </si>
  <si>
    <t>Cash</t>
  </si>
  <si>
    <t>Destination</t>
  </si>
  <si>
    <t>التجمع الخامس</t>
  </si>
  <si>
    <t>التجمع</t>
  </si>
  <si>
    <t xml:space="preserve">حدائق الاهرام بوابة 1 بجوار مدرسة كابيتال
giza
Giza
</t>
  </si>
  <si>
    <t xml:space="preserve">قطهة 8133 شارع المقطم
mokattam
</t>
  </si>
  <si>
    <t>المقطم</t>
  </si>
  <si>
    <t xml:space="preserve">57 شارع جعفر ناصية شارع مسجد عزام
helwan
</t>
  </si>
  <si>
    <t xml:space="preserve">22 شارع شاهين ناصية شارع الامام محمد عبده
ain shams
Cairo
</t>
  </si>
  <si>
    <t xml:space="preserve">29 شارع الجميل
cairo
Cairo
</t>
  </si>
  <si>
    <t xml:space="preserve">191 شارع بورسعيد
cairo
</t>
  </si>
  <si>
    <t xml:space="preserve">شارع فخر الدين
shoubra
Cairo
</t>
  </si>
  <si>
    <t xml:space="preserve">1 عمارة بانوراما بدر الدين
حدائق القبه
</t>
  </si>
  <si>
    <t xml:space="preserve">11 شارع كمال ابراهيم
Lebanon Square
Giza
</t>
  </si>
  <si>
    <t>حدائق اكتوبر</t>
  </si>
  <si>
    <t>Area</t>
  </si>
  <si>
    <t>الجيزه</t>
  </si>
  <si>
    <t>مصر الجديده</t>
  </si>
  <si>
    <t>ح القبه</t>
  </si>
  <si>
    <t>مدينتي</t>
  </si>
  <si>
    <t>الرحاب</t>
  </si>
  <si>
    <t>المعادي</t>
  </si>
  <si>
    <t>حلوان</t>
  </si>
  <si>
    <t>عين شمس</t>
  </si>
  <si>
    <t>السيد زينب</t>
  </si>
  <si>
    <t>شبرا</t>
  </si>
  <si>
    <t>م نصر</t>
  </si>
  <si>
    <t>Total line</t>
  </si>
  <si>
    <t>Location</t>
  </si>
  <si>
    <t>Note</t>
  </si>
  <si>
    <t>الشيخ زايد</t>
  </si>
  <si>
    <t>Gallon</t>
  </si>
  <si>
    <t>مدينه نصر</t>
  </si>
  <si>
    <t>اكتوبر</t>
  </si>
  <si>
    <t>CI-002042</t>
  </si>
  <si>
    <t>united growthers-Seoudi Market Sodic</t>
  </si>
  <si>
    <t>CI-000951</t>
  </si>
  <si>
    <t>Delivery Hero Carriage pt LLC - El maadi</t>
  </si>
  <si>
    <t xml:space="preserve">شارع اللاسلكي تقسيم شركة المعادي للتنمية والتعمير
Maadi
Cairo
</t>
  </si>
  <si>
    <t>سويدك الشيخ زايد</t>
  </si>
  <si>
    <t xml:space="preserve">600 M.L </t>
  </si>
  <si>
    <t>1.5 LTR</t>
  </si>
  <si>
    <t>600 M.L free</t>
  </si>
  <si>
    <t>السلام</t>
  </si>
  <si>
    <t>CI-002044</t>
  </si>
  <si>
    <t>united growthers-Seoudi Market Tayran</t>
  </si>
  <si>
    <t>الطيران مدينه نصر</t>
  </si>
  <si>
    <t>CI-001852</t>
  </si>
  <si>
    <t>Spinneys Egypt Estrada Zayed</t>
  </si>
  <si>
    <t>SHRINK 600 M.L</t>
  </si>
  <si>
    <t>SHRINK 1.5 L</t>
  </si>
  <si>
    <t>SHRINK 330 M.L</t>
  </si>
  <si>
    <t>CI-000600</t>
  </si>
  <si>
    <t>Oscar Grand Stores - Maadi</t>
  </si>
  <si>
    <t xml:space="preserve">maadi
Maadi
Cairo
</t>
  </si>
  <si>
    <t>CI-001346</t>
  </si>
  <si>
    <t>CI-000973</t>
  </si>
  <si>
    <t>Delivery Hero Carriage pt LLC - El obour</t>
  </si>
  <si>
    <t xml:space="preserve">مول هاي لايف
obour
Cairo
</t>
  </si>
  <si>
    <t>العبور</t>
  </si>
  <si>
    <t>CI-001463</t>
  </si>
  <si>
    <t>Smily's Grill</t>
  </si>
  <si>
    <t>المصنع العبور</t>
  </si>
  <si>
    <t>Gomla Market Tagamo</t>
  </si>
  <si>
    <t>CI-000486</t>
  </si>
  <si>
    <t>Market Gallery</t>
  </si>
  <si>
    <t xml:space="preserve">مكرم عبيد مدينه نصر بجوار التوحيد والنور
nasr City
Cairo
</t>
  </si>
  <si>
    <t>CI-000447</t>
  </si>
  <si>
    <t>Bonyan Fergany (Shoubra El Khima)</t>
  </si>
  <si>
    <t xml:space="preserve">13شارع شبرا الخيمة
Cairo
Cairo
</t>
  </si>
  <si>
    <t>ش الخيمه</t>
  </si>
  <si>
    <t>CI-000661</t>
  </si>
  <si>
    <t>AL Houseny Market- Peny Fifth Settlement</t>
  </si>
  <si>
    <t>الحسيني بني التجمع الخامس</t>
  </si>
  <si>
    <t>CI-000617</t>
  </si>
  <si>
    <t>AL Houseny Market- Day to Day</t>
  </si>
  <si>
    <t xml:space="preserve">السوق القديم مدينه الرحاب 1 مدخل بوابه 6
cairo
Cairo
</t>
  </si>
  <si>
    <t>CI-001487</t>
  </si>
  <si>
    <t>Rabbit - Maadi</t>
  </si>
  <si>
    <t>CI-001489</t>
  </si>
  <si>
    <t>Rabbit - Rehab</t>
  </si>
  <si>
    <t>CI-001662</t>
  </si>
  <si>
    <t>VOO E-Commerce.New Cairo</t>
  </si>
  <si>
    <t>CI-002437</t>
  </si>
  <si>
    <t>Voo E-Commerce-lotus</t>
  </si>
  <si>
    <t>يست هيل مول - مخزن السكني الفندقي - منطقة اللوتس - التجمع</t>
  </si>
  <si>
    <t>CI-001951</t>
  </si>
  <si>
    <t>La Poire Tourist Shops Vella maadi</t>
  </si>
  <si>
    <t>CI-002009</t>
  </si>
  <si>
    <t>زهراء المعادي</t>
  </si>
  <si>
    <t>SPARX  BL</t>
  </si>
  <si>
    <t>SPARX  LM</t>
  </si>
  <si>
    <t>SPARX  WM</t>
  </si>
  <si>
    <t>SHRINK 600 Free</t>
  </si>
  <si>
    <t>الدقي</t>
  </si>
  <si>
    <t>CI-000816</t>
  </si>
  <si>
    <t>Spinneys Maadi  ( Grand Mall )</t>
  </si>
  <si>
    <t>دجله المعادي الجديده</t>
  </si>
  <si>
    <t>CI-001097</t>
  </si>
  <si>
    <t>MAF for Installation and Management of Hypermarkets (S.A.E) Carrefour  C3 15 May</t>
  </si>
  <si>
    <t>15 مايو</t>
  </si>
  <si>
    <t>Delivery Hero Carriage pt LLC - Madinty</t>
  </si>
  <si>
    <t xml:space="preserve">نادي مدينتي
New Cairo
Cairo
</t>
  </si>
  <si>
    <t>CI-001777</t>
  </si>
  <si>
    <t>Delivery Hero Dmart Egypt - faisal</t>
  </si>
  <si>
    <t>شارع حسن محمد فيصل</t>
  </si>
  <si>
    <t>CI-000954</t>
  </si>
  <si>
    <t>Delivery Hero Carriage pt LLC - Harm tersa</t>
  </si>
  <si>
    <t xml:space="preserve">2 شارع بدر علام ناصية شارع الزعيم انور السادات
harm
Giza
</t>
  </si>
  <si>
    <t>CI-002320</t>
  </si>
  <si>
    <t>Delivery Hero Dmart Egypt  - October industrial</t>
  </si>
  <si>
    <t>CI-001216</t>
  </si>
  <si>
    <t>Concrete Plus Egypt Post</t>
  </si>
  <si>
    <t>العاصمه الاداريه - كاش</t>
  </si>
  <si>
    <t>العاصمه</t>
  </si>
  <si>
    <t>CI-000656</t>
  </si>
  <si>
    <t>Master Express - Obour</t>
  </si>
  <si>
    <t xml:space="preserve">Chill Out Gas Station Obour 2 - Obour Centeral Axis </t>
  </si>
  <si>
    <t>CI-001385</t>
  </si>
  <si>
    <t>Master Express Zahraa Maadi</t>
  </si>
  <si>
    <t>CI-000914</t>
  </si>
  <si>
    <t>Emarat Misr Stations - Wahat</t>
  </si>
  <si>
    <t xml:space="preserve">قطعة رقم 1 - طريق الواحات - جنوب الأحياء السكنية 
Giza
Giza
</t>
  </si>
  <si>
    <t>زايد</t>
  </si>
  <si>
    <t>CI-002056</t>
  </si>
  <si>
    <t>united growthers-Seoudi Market KitKat ( Dark store )</t>
  </si>
  <si>
    <t>بجوار اسفينكس المهندسين</t>
  </si>
  <si>
    <t>CI-001758</t>
  </si>
  <si>
    <t>Spinneys Egypt Dokki</t>
  </si>
  <si>
    <t>CD-001758</t>
  </si>
  <si>
    <t>CI-000510</t>
  </si>
  <si>
    <t>Lulu Hyper Market - Park Mall (Tagamo)</t>
  </si>
  <si>
    <t>CI-001079</t>
  </si>
  <si>
    <t>Oscar Grand Stores - Tagamo</t>
  </si>
  <si>
    <t>التجمع الخامس شارع ال 90</t>
  </si>
  <si>
    <t>CI-000452</t>
  </si>
  <si>
    <t>Bonyan Fergany (El Naam)</t>
  </si>
  <si>
    <t xml:space="preserve">شارع النعم
Cairo
Cairo
</t>
  </si>
  <si>
    <t>CI-000456</t>
  </si>
  <si>
    <t>Bonyan Fergany (El Matrya)</t>
  </si>
  <si>
    <t xml:space="preserve">13-شارع الكبلات 
Cairo
Cairo
</t>
  </si>
  <si>
    <t>المطريه</t>
  </si>
  <si>
    <t>التجمع الاول</t>
  </si>
  <si>
    <t>CI-002040</t>
  </si>
  <si>
    <t>united growthers-Seoudi Market Dokki</t>
  </si>
  <si>
    <t>CI-002264</t>
  </si>
  <si>
    <t>Delivery Hero Dmart Egypt-Elmokattam2</t>
  </si>
  <si>
    <t>CI-000511</t>
  </si>
  <si>
    <t>Lulu Hyper Market - Sheraton</t>
  </si>
  <si>
    <t>شيراتون مصر الجديده</t>
  </si>
  <si>
    <t>CI-001803</t>
  </si>
  <si>
    <t>Mr and ms cafe-salam</t>
  </si>
  <si>
    <t>CI-000124</t>
  </si>
  <si>
    <t>MAF for Installation and Management of Hypermarkets (S.A.E) Carrefour C4 Market Beverly hills</t>
  </si>
  <si>
    <t xml:space="preserve">beverly hills-6 october
6 October
Cairo
</t>
  </si>
  <si>
    <t>CI-000984</t>
  </si>
  <si>
    <t>Z.Mart</t>
  </si>
  <si>
    <t xml:space="preserve">7775 منطقة ش الهضبة العليا
Misr Al Qadimah
Cairo
</t>
  </si>
  <si>
    <t>CI-002474</t>
  </si>
  <si>
    <t>Delivery Hero Dmart Egypt-Marioteya</t>
  </si>
  <si>
    <t>المريوطيه فيصل</t>
  </si>
  <si>
    <t>CI-000950</t>
  </si>
  <si>
    <t>Delivery Hero Carriage pt LLC - Zahraa El maadi</t>
  </si>
  <si>
    <t xml:space="preserve">6021 المجاورة السادسة مدينة المعراج
Maadi
Cairo
</t>
  </si>
  <si>
    <t>Delivery Hero Dmart Egypt - Zahraa El maadi 2</t>
  </si>
  <si>
    <t>CI-002194</t>
  </si>
  <si>
    <t>Triple A - Tagamoo</t>
  </si>
  <si>
    <t>CI-001912</t>
  </si>
  <si>
    <t>Vivo Caff</t>
  </si>
  <si>
    <t>CI-000955</t>
  </si>
  <si>
    <t>Delivery Hero Carriage pt LLC - Icon Mall</t>
  </si>
  <si>
    <t xml:space="preserve">17 ا المحور المركزي بمدينة 6 اكتوبر
octaber
</t>
  </si>
  <si>
    <t>CI-002377</t>
  </si>
  <si>
    <t>CI-001264</t>
  </si>
  <si>
    <t>Oscar Grand Stores - Water way</t>
  </si>
  <si>
    <t>واتر واي التجمع الاول - كاش</t>
  </si>
  <si>
    <t>Spinneys Mazar</t>
  </si>
  <si>
    <t>بجوار كمبوند الكرمة ريزيدنس – الحي 16 – الشيخ زايد</t>
  </si>
  <si>
    <t>CI-000748</t>
  </si>
  <si>
    <t>بدر</t>
  </si>
  <si>
    <t>CI-000451</t>
  </si>
  <si>
    <t>Bonyan Fergany (Shoubra)</t>
  </si>
  <si>
    <t xml:space="preserve">13-شارع شبرا
Cairo
Cairo
</t>
  </si>
  <si>
    <t>شبرا مصر</t>
  </si>
  <si>
    <t>CI-001523</t>
  </si>
  <si>
    <t>One Cafe and Long</t>
  </si>
  <si>
    <t>12 ب ش زهراء المعادي البساتين</t>
  </si>
  <si>
    <t>المعادى</t>
  </si>
  <si>
    <t>CI-001982</t>
  </si>
  <si>
    <t>La Poire Tourist Shops sodec Woc</t>
  </si>
  <si>
    <t>CI-000969</t>
  </si>
  <si>
    <t>CI-001089</t>
  </si>
  <si>
    <t>Mahlawi Hyper for trade ( obour)</t>
  </si>
  <si>
    <t>CI-000198</t>
  </si>
  <si>
    <t>Hisham Rabie - Hegaz</t>
  </si>
  <si>
    <t xml:space="preserve">ش الحجاز بجوار بنك التجارى الدولى
Cairo
Cairo
</t>
  </si>
  <si>
    <t>CI-001014</t>
  </si>
  <si>
    <t>Spinneys Nasr city ( Tucano )</t>
  </si>
  <si>
    <t>مدينة نصر</t>
  </si>
  <si>
    <t>الهرم</t>
  </si>
  <si>
    <t>CI-001429</t>
  </si>
  <si>
    <t>Master on the Go - Museum of Egyptian Civilization</t>
  </si>
  <si>
    <t>المتحف المصري ( ميدان الرمايه )</t>
  </si>
  <si>
    <t>CI-001794</t>
  </si>
  <si>
    <t>Ibn Sena Hospital</t>
  </si>
  <si>
    <t>CI-000976</t>
  </si>
  <si>
    <t>Delivery Hero Carriage pt LLC - Palm Hills</t>
  </si>
  <si>
    <t xml:space="preserve">المركز التجاري صفوة موول قطعة رقم 7
octaber
Cairo
</t>
  </si>
  <si>
    <t>CI-000509</t>
  </si>
  <si>
    <t>Lulu Hyper Market - Tagamo</t>
  </si>
  <si>
    <t xml:space="preserve">tagamo
New Cairo
Cairo
</t>
  </si>
  <si>
    <t>CI-002286</t>
  </si>
  <si>
    <t>Dynamics Distribution</t>
  </si>
  <si>
    <t>كاش -  العبور</t>
  </si>
  <si>
    <t>CI-002079</t>
  </si>
  <si>
    <t>Al Raya Market - for general trade and supplies Nasr city El Wafaa &amp; Amal</t>
  </si>
  <si>
    <t>CI-002509</t>
  </si>
  <si>
    <t>Hyper Zaher - Madenty</t>
  </si>
  <si>
    <t>CI-002304</t>
  </si>
  <si>
    <t>CI-001078</t>
  </si>
  <si>
    <t>Oscar Grand Stores - Zayed</t>
  </si>
  <si>
    <t>CI-000747</t>
  </si>
  <si>
    <t>Spinneys Mall of Arabia</t>
  </si>
  <si>
    <t>ميدان جهينة مول العرب – مدينة 6 أكتوبر</t>
  </si>
  <si>
    <t>CD-000747</t>
  </si>
  <si>
    <t>CI-001985</t>
  </si>
  <si>
    <t>La Poire Tourist Shops mall egypt</t>
  </si>
  <si>
    <t>داخل مول مصر</t>
  </si>
  <si>
    <t>La Poire Tourist Shops youvenous</t>
  </si>
  <si>
    <t>CI-000316</t>
  </si>
  <si>
    <t>MAF for Installation and Management of Hypermarkets (S.A.E) Carrefour C4 Pyramids View</t>
  </si>
  <si>
    <t>2 شارع المنصورية / الهرم / الجيزة</t>
  </si>
  <si>
    <t>CI-000618</t>
  </si>
  <si>
    <t>AL Houseny Market- Peny Madinate</t>
  </si>
  <si>
    <t xml:space="preserve">مدينه مدينتي منطقة ال B7
cairo
Cairo
</t>
  </si>
  <si>
    <t>CI-000903</t>
  </si>
  <si>
    <t>Emarat Misr Stations</t>
  </si>
  <si>
    <t>اداره امارات مصر المعادي</t>
  </si>
  <si>
    <t>CI-001607</t>
  </si>
  <si>
    <t>Mobil Al Nasr Road</t>
  </si>
  <si>
    <t>طريق النصر مدينه نصر</t>
  </si>
  <si>
    <t>CI-000751</t>
  </si>
  <si>
    <t>CI-002446</t>
  </si>
  <si>
    <t>Panda (EL Rehab)</t>
  </si>
  <si>
    <t>بندا - الرحاب</t>
  </si>
  <si>
    <t>CI-001073</t>
  </si>
  <si>
    <t>Osman Abd el alim abd el rady</t>
  </si>
  <si>
    <t xml:space="preserve">محل رقم 101 السوق التجاري الرحاب
New Cairo
Cairo
</t>
  </si>
  <si>
    <t>Spinneys New maadi</t>
  </si>
  <si>
    <t>المعادي الجديده</t>
  </si>
  <si>
    <t>CI-000454</t>
  </si>
  <si>
    <t>Bonyan Fergany (Gamal Abdel Naser)</t>
  </si>
  <si>
    <t>جمال عبد الناصرجسر السويس</t>
  </si>
  <si>
    <t>CI-001442</t>
  </si>
  <si>
    <t>Egyption group for import and export</t>
  </si>
  <si>
    <t>CI-001779</t>
  </si>
  <si>
    <t>Total New Badr (Heasham Bayomi)</t>
  </si>
  <si>
    <t>توتال بدر</t>
  </si>
  <si>
    <t>CI-001128</t>
  </si>
  <si>
    <t>Gomla Market - Haram Cairo</t>
  </si>
  <si>
    <t>128-114بشارع الأهرام - الجيزة</t>
  </si>
  <si>
    <t>CI-002204</t>
  </si>
  <si>
    <t>Coya - Al-Ahly Club, Zayed Branch</t>
  </si>
  <si>
    <t>CI-002207</t>
  </si>
  <si>
    <t>Coya - Al-Marshadi Zayed Axis</t>
  </si>
  <si>
    <t>CI-000949</t>
  </si>
  <si>
    <t>CI-000963</t>
  </si>
  <si>
    <t>Delivery Hero Carriage pt LLC - City Stars</t>
  </si>
  <si>
    <t>13 عمارات الشركة السعودية للتعمير
م نصر</t>
  </si>
  <si>
    <t>SO-150858</t>
  </si>
  <si>
    <t>SO-150826</t>
  </si>
  <si>
    <t>SO-150860</t>
  </si>
  <si>
    <t>SO-150831</t>
  </si>
  <si>
    <t>SO-150846</t>
  </si>
  <si>
    <t>SO-150840</t>
  </si>
  <si>
    <t>CI-002068</t>
  </si>
  <si>
    <t>united growthers-Seoudi Market Darke store-Maadi</t>
  </si>
  <si>
    <t>دارك استور معادي</t>
  </si>
  <si>
    <t>SO-150845</t>
  </si>
  <si>
    <t>SO-150843</t>
  </si>
  <si>
    <t>SO-150848</t>
  </si>
  <si>
    <t>SO-150851</t>
  </si>
  <si>
    <t>SO-150753</t>
  </si>
  <si>
    <t>SO-150755</t>
  </si>
  <si>
    <t>SO-150588</t>
  </si>
  <si>
    <t>SO-150871</t>
  </si>
  <si>
    <t>SO-150742</t>
  </si>
  <si>
    <t>SO-150823</t>
  </si>
  <si>
    <t>SO-150824</t>
  </si>
  <si>
    <t>SO-150849</t>
  </si>
  <si>
    <t>SO-150827</t>
  </si>
  <si>
    <t>SO-150834</t>
  </si>
  <si>
    <t>SO-150841</t>
  </si>
  <si>
    <t>SO-150793</t>
  </si>
  <si>
    <t>SO-150803</t>
  </si>
  <si>
    <t>SO-150870</t>
  </si>
  <si>
    <t>SO-150791</t>
  </si>
  <si>
    <t>SO-150815</t>
  </si>
  <si>
    <t>SO-150792</t>
  </si>
  <si>
    <t>SO-150773</t>
  </si>
  <si>
    <t>SO-150799</t>
  </si>
  <si>
    <t>SO-150806</t>
  </si>
  <si>
    <t>SO-150807</t>
  </si>
  <si>
    <t>SO-150782</t>
  </si>
  <si>
    <t>SO-150797</t>
  </si>
  <si>
    <t>SO-150798</t>
  </si>
  <si>
    <t>SO-150778</t>
  </si>
  <si>
    <t>SO-150779</t>
  </si>
  <si>
    <t>SO-150780</t>
  </si>
  <si>
    <t>SO-150789</t>
  </si>
  <si>
    <t>SO-150810</t>
  </si>
  <si>
    <t>SO-150786</t>
  </si>
  <si>
    <t>SO-150873</t>
  </si>
  <si>
    <t>SO-150862</t>
  </si>
  <si>
    <t>SO-150703</t>
  </si>
  <si>
    <t>SO-150704</t>
  </si>
  <si>
    <t>SO-150706</t>
  </si>
  <si>
    <t>CI-002477</t>
  </si>
  <si>
    <t>Infinity tech</t>
  </si>
  <si>
    <t>SO-150712</t>
  </si>
  <si>
    <t>SO-150839</t>
  </si>
  <si>
    <t>CI-002112</t>
  </si>
  <si>
    <t>Molise Restaurant Management haram</t>
  </si>
  <si>
    <t>SO-150842</t>
  </si>
  <si>
    <t>CI-000647</t>
  </si>
  <si>
    <t>Master Express - Sheraton</t>
  </si>
  <si>
    <t xml:space="preserve">Autostrad </t>
  </si>
  <si>
    <t>SO-150847</t>
  </si>
  <si>
    <t>SO-150638</t>
  </si>
  <si>
    <t>SO-150596</t>
  </si>
  <si>
    <t>SO-150825</t>
  </si>
  <si>
    <t>CI-002013</t>
  </si>
  <si>
    <t>French Voala</t>
  </si>
  <si>
    <t>التجمع الف مصنع</t>
  </si>
  <si>
    <t>SO-150833</t>
  </si>
  <si>
    <t>SO-150835</t>
  </si>
  <si>
    <t>SO-150836</t>
  </si>
  <si>
    <t>SO-150764</t>
  </si>
  <si>
    <t>SO-150765</t>
  </si>
  <si>
    <t>CI-001979</t>
  </si>
  <si>
    <t>La Poire Tourist Shops bevrly helz</t>
  </si>
  <si>
    <t>SO-150776</t>
  </si>
  <si>
    <t>SO-150757</t>
  </si>
  <si>
    <t>SO-150760</t>
  </si>
  <si>
    <t>SO-150740</t>
  </si>
  <si>
    <t>Ship-063718</t>
  </si>
  <si>
    <t>SO-150980</t>
  </si>
  <si>
    <t>SO-150983</t>
  </si>
  <si>
    <t>SO-150857</t>
  </si>
  <si>
    <t>SO-150866</t>
  </si>
  <si>
    <t>SO-150979</t>
  </si>
  <si>
    <t>SO-151047</t>
  </si>
  <si>
    <t>SO-151053</t>
  </si>
  <si>
    <t>SO-151055</t>
  </si>
  <si>
    <t>SO-151059</t>
  </si>
  <si>
    <t>SO-151057</t>
  </si>
  <si>
    <t>SO-150985</t>
  </si>
  <si>
    <t>SO-150988</t>
  </si>
  <si>
    <t>SO-150989</t>
  </si>
  <si>
    <t>SO-151056</t>
  </si>
  <si>
    <t>SO-150984</t>
  </si>
  <si>
    <t>SO-151070</t>
  </si>
  <si>
    <t>SO-151078</t>
  </si>
  <si>
    <t>SO-151044</t>
  </si>
  <si>
    <t>SO-151090</t>
  </si>
  <si>
    <t>SO-151094</t>
  </si>
  <si>
    <t>CI-000458</t>
  </si>
  <si>
    <t>Bonyan Fergany ( Nasr City)</t>
  </si>
  <si>
    <t xml:space="preserve">الحى السادس
Cairo
Cairo
</t>
  </si>
  <si>
    <t>SO-151096</t>
  </si>
  <si>
    <t>SO-151099</t>
  </si>
  <si>
    <t>SO-150956</t>
  </si>
  <si>
    <t>SO-150959</t>
  </si>
  <si>
    <t>SO-150957</t>
  </si>
  <si>
    <t>SO-150947</t>
  </si>
  <si>
    <t>SO-150927</t>
  </si>
  <si>
    <t>SO-150935</t>
  </si>
  <si>
    <t>SO-150951</t>
  </si>
  <si>
    <t>SO-150952</t>
  </si>
  <si>
    <t>SO-150953</t>
  </si>
  <si>
    <t>SO-150960</t>
  </si>
  <si>
    <t>SO-150961</t>
  </si>
  <si>
    <t>SO-150929</t>
  </si>
  <si>
    <t>SO-150945</t>
  </si>
  <si>
    <t>SO-150936</t>
  </si>
  <si>
    <t>SO-150932</t>
  </si>
  <si>
    <t>SO-150933</t>
  </si>
  <si>
    <t>SO-150934</t>
  </si>
  <si>
    <t>SO-150940</t>
  </si>
  <si>
    <t>SO-150943</t>
  </si>
  <si>
    <t>SO-150964</t>
  </si>
  <si>
    <t>SO-151030</t>
  </si>
  <si>
    <t>SO-151034</t>
  </si>
  <si>
    <t>SO-150880</t>
  </si>
  <si>
    <t>SO-150882</t>
  </si>
  <si>
    <t>SO-150970</t>
  </si>
  <si>
    <t>SO-150973</t>
  </si>
  <si>
    <t>CI-001980</t>
  </si>
  <si>
    <t>La Poire Tourist Shops BISC</t>
  </si>
  <si>
    <t>المدرسه البرطنيه الشيخ زايد</t>
  </si>
  <si>
    <t>SO-150974</t>
  </si>
  <si>
    <t>SO-150982</t>
  </si>
  <si>
    <t>SO-150986</t>
  </si>
  <si>
    <t>SO-150865</t>
  </si>
  <si>
    <t>SO-150972</t>
  </si>
  <si>
    <t>SO-151009</t>
  </si>
  <si>
    <t>CI-001601</t>
  </si>
  <si>
    <t>Westway Investment</t>
  </si>
  <si>
    <t>شركه ويست واي للاستثمار العمراني الشيخ زايد</t>
  </si>
  <si>
    <t>SO-151025</t>
  </si>
  <si>
    <t>SO-151022</t>
  </si>
  <si>
    <t>Values</t>
  </si>
  <si>
    <t>FD SKU</t>
  </si>
  <si>
    <t>Description</t>
  </si>
  <si>
    <t>SUM QTY</t>
  </si>
  <si>
    <t>Expected</t>
  </si>
  <si>
    <t>Available</t>
  </si>
  <si>
    <t>Difference</t>
  </si>
  <si>
    <t>Sum of 600 Mm*20 Bottle</t>
  </si>
  <si>
    <t>41030109001</t>
  </si>
  <si>
    <t>600 Mm*20 Bottle</t>
  </si>
  <si>
    <t>Sum of 1.5 Liter*12 Bottle</t>
  </si>
  <si>
    <t>41030109002</t>
  </si>
  <si>
    <t>1.5 Liter*12 Bottle</t>
  </si>
  <si>
    <t>Sum of Gallon 18.9 Lite</t>
  </si>
  <si>
    <t>41030109003</t>
  </si>
  <si>
    <t>Gallon 18.9 Lite</t>
  </si>
  <si>
    <t>Sum of SHRINK (600MM *12 Bottle)</t>
  </si>
  <si>
    <t>41030109004</t>
  </si>
  <si>
    <t>SHRINK (600MM *12 Bottle)</t>
  </si>
  <si>
    <t>Sum of SHRINK (1.5Ltr *6 Bottle)</t>
  </si>
  <si>
    <t>41030109005</t>
  </si>
  <si>
    <t>SHRINK (1.5Ltr *6 Bottle)</t>
  </si>
  <si>
    <t>Sum of SHRINK (330MM *20 Bottle)</t>
  </si>
  <si>
    <t>41030109006</t>
  </si>
  <si>
    <t>SHRINK (330MM *20 Bottle)</t>
  </si>
  <si>
    <t>Sum of Carton Free 600ml</t>
  </si>
  <si>
    <t>4103010009007</t>
  </si>
  <si>
    <t>Carton Free 600ml</t>
  </si>
  <si>
    <t>Count of Elano Water 600 ml shrink - Free</t>
  </si>
  <si>
    <t>4103010009010</t>
  </si>
  <si>
    <t>Elano Water 600 ml shrink - Free</t>
  </si>
  <si>
    <t>Sum of SPARX Blueberry 300ml Shrink</t>
  </si>
  <si>
    <t>4103020785006</t>
  </si>
  <si>
    <t>SPARX Blueberry 300ml Shrink</t>
  </si>
  <si>
    <t>Sum of SPARX Lemon mint 300ml Shrink</t>
  </si>
  <si>
    <t>4103020785003</t>
  </si>
  <si>
    <t>SPARX Lemon mint 300ml Shrink</t>
  </si>
  <si>
    <t>Sum of SPARX Strawberry Watermelon 300ml Shrink</t>
  </si>
  <si>
    <t>4103020785004</t>
  </si>
  <si>
    <t>SPARX Strawberry Watermelon 300ml Shrink</t>
  </si>
  <si>
    <t>Order ID</t>
  </si>
  <si>
    <t>LOC</t>
  </si>
  <si>
    <t>SKU</t>
  </si>
  <si>
    <t>QTY</t>
  </si>
  <si>
    <t>Company Name</t>
  </si>
  <si>
    <t>Elano Water</t>
  </si>
  <si>
    <t>CAR-010504050</t>
  </si>
  <si>
    <t>TTC-010201569</t>
  </si>
  <si>
    <t>LUL-010201663</t>
  </si>
  <si>
    <t>LUL-010201082</t>
  </si>
  <si>
    <t>SPN-010213127</t>
  </si>
  <si>
    <t>SDI-0105011307</t>
  </si>
  <si>
    <t>SDI-0102161103</t>
  </si>
  <si>
    <t>SDI-0105011075</t>
  </si>
  <si>
    <t>SPN-010504117</t>
  </si>
  <si>
    <t>LUL-010201081</t>
  </si>
  <si>
    <t>FTG-010504186</t>
  </si>
  <si>
    <t>SPN-010504116</t>
  </si>
  <si>
    <t>SO-151056-Cash</t>
  </si>
  <si>
    <t>KEY-01020343574</t>
  </si>
  <si>
    <t>TTD-01020333221</t>
  </si>
  <si>
    <t>KRL-010201071</t>
  </si>
  <si>
    <t>KRL-010201069</t>
  </si>
  <si>
    <t>KRL-010201191</t>
  </si>
  <si>
    <t>KRL-010201063</t>
  </si>
  <si>
    <t>KRL-010216073</t>
  </si>
  <si>
    <t>KRL-010201068</t>
  </si>
  <si>
    <t>KRL-010201067</t>
  </si>
  <si>
    <t>DHR-010201158</t>
  </si>
  <si>
    <t>DHR-010201161</t>
  </si>
  <si>
    <t>DEL-01020111642</t>
  </si>
  <si>
    <t>DHR-010201137</t>
  </si>
  <si>
    <t>DHR-010213141</t>
  </si>
  <si>
    <t>DHR-010216153</t>
  </si>
  <si>
    <t>DEL-01050183501</t>
  </si>
  <si>
    <t>DHR-0105011641</t>
  </si>
  <si>
    <t>DEL-01050173221</t>
  </si>
  <si>
    <t>CST-01050173453</t>
  </si>
  <si>
    <t>DHR-010504163</t>
  </si>
  <si>
    <t>DHR-010503144</t>
  </si>
  <si>
    <t>DHR-010213140</t>
  </si>
  <si>
    <t>DHR-010504152</t>
  </si>
  <si>
    <t>DHR-010211150</t>
  </si>
  <si>
    <t>DHR-010201143</t>
  </si>
  <si>
    <t>DHR-010201151</t>
  </si>
  <si>
    <t>DHR-010201155</t>
  </si>
  <si>
    <t>DHR-010201162</t>
  </si>
  <si>
    <t>DHR-010201159</t>
  </si>
  <si>
    <t>ECM-010213729</t>
  </si>
  <si>
    <t>ECM-010201731</t>
  </si>
  <si>
    <t>Voo-0102011235</t>
  </si>
  <si>
    <t>ECO-01020343611</t>
  </si>
  <si>
    <t>MEX-010213601</t>
  </si>
  <si>
    <t>HOR-01050153176</t>
  </si>
  <si>
    <t>SO-150974-Cash</t>
  </si>
  <si>
    <t>KRL-010201839</t>
  </si>
  <si>
    <t>SO-150982-Cash</t>
  </si>
  <si>
    <t>CVS-0102012570</t>
  </si>
  <si>
    <t>CVS-010504818</t>
  </si>
  <si>
    <t>SO-150865-Cash</t>
  </si>
  <si>
    <t>HOR-01020413152</t>
  </si>
  <si>
    <t>MEX-010201413</t>
  </si>
  <si>
    <t>SO-151009-Cash</t>
  </si>
  <si>
    <t>KRL-0105011147</t>
  </si>
  <si>
    <t>SO-151025-Cash</t>
  </si>
  <si>
    <t>HOR-01020172944</t>
  </si>
  <si>
    <t>EMR-010213422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</si>
</sst>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;@"/>
    <numFmt numFmtId="165" formatCode="_(* #,##0.0_);_(* \(#,##0.0\);_(* &quot;-&quot;??_);_(@_)"/>
    <numFmt numFmtId="166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26">
    <xf numFmtId="0" fontId="0" fillId="0" borderId="0" xfId="0"/>
    <xf numFmtId="164" fontId="5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165" fontId="7" fillId="2" borderId="0" xfId="1" applyNumberFormat="1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166" fontId="0" fillId="0" borderId="0" xfId="1" applyNumberFormat="1" applyFont="1" applyAlignment="1">
      <alignment horizontal="center" vertical="center"/>
    </xf>
    <xf numFmtId="166" fontId="0" fillId="0" borderId="0" xfId="1" applyNumberFormat="1" applyFont="1"/>
    <xf numFmtId="166" fontId="2" fillId="0" borderId="0" xfId="1" applyNumberFormat="1" applyFont="1"/>
    <xf numFmtId="14" fontId="0" fillId="0" borderId="0" xfId="0" applyNumberFormat="1"/>
    <xf numFmtId="166" fontId="0" fillId="0" borderId="2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10" fillId="0" borderId="0" xfId="2"/>
    <xf numFmtId="166" fontId="0" fillId="0" borderId="0" xfId="0" applyNumberFormat="1"/>
    <xf numFmtId="43" fontId="0" fillId="0" borderId="0" xfId="0" applyNumberFormat="1"/>
  </cellXfs>
  <cellStyles count="3">
    <cellStyle name="Comma" xfId="1" builtinId="3"/>
    <cellStyle name="Hyperlink" xfId="2" builtinId="8"/>
    <cellStyle name="Normal" xfId="0" builtinId="0"/>
  </cellStyles>
  <dxfs count="2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06004B-00D9-4955-B568-427CA524083D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1FD25DEC-CD08-4FC9-BDCF-D24B8ED29D57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D0161560-E97C-4AD4-99DB-BC850B4E33F6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03ABC90-4F9D-49FD-867E-EC8F2BE8AE44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6915731-79DB-4696-A5DD-B3B42E230F6D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2B1E73CC-B630-4013-AFC1-0ED2A5E0962F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2C385C12-7117-4457-8A09-DCF8AACB1E64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B2D0FFF-34AA-4B30-BE6E-6942F750034A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A686D71-07DC-4419-B6B0-AE4D84B48CAA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BBD22BF-48B8-45E2-9602-FB8730F2F970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" name="TextBox 1">
          <a:extLst>
            <a:ext uri="{FF2B5EF4-FFF2-40B4-BE49-F238E27FC236}">
              <a16:creationId xmlns:a16="http://schemas.microsoft.com/office/drawing/2014/main" id="{E55F874E-3D42-4D3C-882B-A8D9367D2454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3" name="TextBox 1">
          <a:extLst>
            <a:ext uri="{FF2B5EF4-FFF2-40B4-BE49-F238E27FC236}">
              <a16:creationId xmlns:a16="http://schemas.microsoft.com/office/drawing/2014/main" id="{8B6C362E-DC58-4DE5-9140-3B74BC226EC9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DAAE98F-9E41-4C09-91F6-2860FAE8A614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4DBF515-6D04-4D1D-8E1D-115EC5BBAB5E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6" name="TextBox 1">
          <a:extLst>
            <a:ext uri="{FF2B5EF4-FFF2-40B4-BE49-F238E27FC236}">
              <a16:creationId xmlns:a16="http://schemas.microsoft.com/office/drawing/2014/main" id="{B73780BD-1039-4DE5-98C9-9D0AA26CEA7C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7" name="TextBox 1">
          <a:extLst>
            <a:ext uri="{FF2B5EF4-FFF2-40B4-BE49-F238E27FC236}">
              <a16:creationId xmlns:a16="http://schemas.microsoft.com/office/drawing/2014/main" id="{745AAB40-684A-4169-A98F-1413C1F68F05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E6007D6-77A8-4508-97EF-ACABAA92CC4D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8660053-38F4-41B4-8825-70A7F507A56E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0" name="TextBox 1">
          <a:extLst>
            <a:ext uri="{FF2B5EF4-FFF2-40B4-BE49-F238E27FC236}">
              <a16:creationId xmlns:a16="http://schemas.microsoft.com/office/drawing/2014/main" id="{6A9C437F-52E3-4D16-B651-3A538BE58140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1" name="TextBox 1">
          <a:extLst>
            <a:ext uri="{FF2B5EF4-FFF2-40B4-BE49-F238E27FC236}">
              <a16:creationId xmlns:a16="http://schemas.microsoft.com/office/drawing/2014/main" id="{A472827D-6A5F-40E9-A90E-4B05ADE623E8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9A3DB84-F62C-4982-8BCA-88DBCE48A89F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C1B3CD8-D24A-4C5F-917B-F6B82C9604EB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4" name="TextBox 1">
          <a:extLst>
            <a:ext uri="{FF2B5EF4-FFF2-40B4-BE49-F238E27FC236}">
              <a16:creationId xmlns:a16="http://schemas.microsoft.com/office/drawing/2014/main" id="{1AC36F03-1BB9-4B10-BD36-FCFF1234EAA6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5" name="TextBox 1">
          <a:extLst>
            <a:ext uri="{FF2B5EF4-FFF2-40B4-BE49-F238E27FC236}">
              <a16:creationId xmlns:a16="http://schemas.microsoft.com/office/drawing/2014/main" id="{DBB754BE-1B1A-4B2B-B097-EE24A00F444E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5449F72-B393-4B03-9F81-10CAD488A5B5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9B452A8-FBFE-475C-ACEA-F425450C5960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8" name="TextBox 1">
          <a:extLst>
            <a:ext uri="{FF2B5EF4-FFF2-40B4-BE49-F238E27FC236}">
              <a16:creationId xmlns:a16="http://schemas.microsoft.com/office/drawing/2014/main" id="{89DF9156-2A8C-4CAA-980A-C218B1EF2856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9" name="TextBox 1">
          <a:extLst>
            <a:ext uri="{FF2B5EF4-FFF2-40B4-BE49-F238E27FC236}">
              <a16:creationId xmlns:a16="http://schemas.microsoft.com/office/drawing/2014/main" id="{F13DE31E-EACE-46A6-A04E-E63ED1D4EBFD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D2EB068-968F-4021-AEC7-955697F7DAC9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C8DEB96-F235-4472-ADC6-500BA9DA3ED4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2" name="TextBox 1">
          <a:extLst>
            <a:ext uri="{FF2B5EF4-FFF2-40B4-BE49-F238E27FC236}">
              <a16:creationId xmlns:a16="http://schemas.microsoft.com/office/drawing/2014/main" id="{2C1233AA-4DEB-46C9-A962-261EEA0DCD63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3" name="TextBox 1">
          <a:extLst>
            <a:ext uri="{FF2B5EF4-FFF2-40B4-BE49-F238E27FC236}">
              <a16:creationId xmlns:a16="http://schemas.microsoft.com/office/drawing/2014/main" id="{08D8A438-5013-405B-B7B1-5610626455E0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5D16695-CDBB-4785-BE40-C869B19F342D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4562C88-F932-414A-8790-DA6B23932C85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6" name="TextBox 1">
          <a:extLst>
            <a:ext uri="{FF2B5EF4-FFF2-40B4-BE49-F238E27FC236}">
              <a16:creationId xmlns:a16="http://schemas.microsoft.com/office/drawing/2014/main" id="{5E643407-940C-4755-9357-25C2DACCFA6C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7" name="TextBox 1">
          <a:extLst>
            <a:ext uri="{FF2B5EF4-FFF2-40B4-BE49-F238E27FC236}">
              <a16:creationId xmlns:a16="http://schemas.microsoft.com/office/drawing/2014/main" id="{9ABF8149-696F-4CD5-9B3C-193290AF792A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BDD70D6-7A0C-441F-9CB3-941A60A2ADE9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46B2DE1-6879-408C-9651-BBC373430E6C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0" name="TextBox 1">
          <a:extLst>
            <a:ext uri="{FF2B5EF4-FFF2-40B4-BE49-F238E27FC236}">
              <a16:creationId xmlns:a16="http://schemas.microsoft.com/office/drawing/2014/main" id="{3CDB397A-4A3F-49F0-B96C-D62199B3D43F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1" name="TextBox 1">
          <a:extLst>
            <a:ext uri="{FF2B5EF4-FFF2-40B4-BE49-F238E27FC236}">
              <a16:creationId xmlns:a16="http://schemas.microsoft.com/office/drawing/2014/main" id="{1DAB548B-7D93-4ECA-A974-6AC26C388520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DE6A4E2-3EAD-4971-9CB8-F7F3A64AB07E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A9C2EDE-1403-4EA1-A9BE-F695504D7757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4" name="TextBox 1">
          <a:extLst>
            <a:ext uri="{FF2B5EF4-FFF2-40B4-BE49-F238E27FC236}">
              <a16:creationId xmlns:a16="http://schemas.microsoft.com/office/drawing/2014/main" id="{CD36244B-EE5B-4DDB-8223-C913FE0634A5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5" name="TextBox 1">
          <a:extLst>
            <a:ext uri="{FF2B5EF4-FFF2-40B4-BE49-F238E27FC236}">
              <a16:creationId xmlns:a16="http://schemas.microsoft.com/office/drawing/2014/main" id="{D97DB958-E227-45DE-A3AC-96F4451F48ED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19785952-72FA-4829-96B3-C09BAD64AD48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7" name="TextBox 1">
          <a:extLst>
            <a:ext uri="{FF2B5EF4-FFF2-40B4-BE49-F238E27FC236}">
              <a16:creationId xmlns:a16="http://schemas.microsoft.com/office/drawing/2014/main" id="{ADC6F1B2-D5E0-41CA-BC8F-FD1CB9270A29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8" name="TextBox 1">
          <a:extLst>
            <a:ext uri="{FF2B5EF4-FFF2-40B4-BE49-F238E27FC236}">
              <a16:creationId xmlns:a16="http://schemas.microsoft.com/office/drawing/2014/main" id="{0A29A058-B322-4CE9-A344-41A3E25572E3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039B0A1-4012-4409-A425-3E62C1E4021C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0" name="TextBox 1">
          <a:extLst>
            <a:ext uri="{FF2B5EF4-FFF2-40B4-BE49-F238E27FC236}">
              <a16:creationId xmlns:a16="http://schemas.microsoft.com/office/drawing/2014/main" id="{D9C25267-E01B-44CF-9917-9EED83A53327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52E6769-00A5-4527-846D-EDE511C7D1A8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2" name="TextBox 1">
          <a:extLst>
            <a:ext uri="{FF2B5EF4-FFF2-40B4-BE49-F238E27FC236}">
              <a16:creationId xmlns:a16="http://schemas.microsoft.com/office/drawing/2014/main" id="{33D970F5-2A77-4C8B-A14C-7E70B2CACC94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3" name="TextBox 1">
          <a:extLst>
            <a:ext uri="{FF2B5EF4-FFF2-40B4-BE49-F238E27FC236}">
              <a16:creationId xmlns:a16="http://schemas.microsoft.com/office/drawing/2014/main" id="{83EC537D-2292-4A3B-BFC5-43DD4D547598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2D09ECD-6B45-48CA-8FEB-5532088A4664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3538932-2716-4F92-8152-2F429621315D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6" name="TextBox 1">
          <a:extLst>
            <a:ext uri="{FF2B5EF4-FFF2-40B4-BE49-F238E27FC236}">
              <a16:creationId xmlns:a16="http://schemas.microsoft.com/office/drawing/2014/main" id="{B48ECF48-16CB-4EE1-8264-DA5F79396BC0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7" name="TextBox 1">
          <a:extLst>
            <a:ext uri="{FF2B5EF4-FFF2-40B4-BE49-F238E27FC236}">
              <a16:creationId xmlns:a16="http://schemas.microsoft.com/office/drawing/2014/main" id="{F700C6F8-5C69-4693-82AE-C10ABF70E77A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832972B-BACB-4CC2-8D95-3DB1DF960D7A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7FB96A71-A5EE-40B6-997C-7EE80CC36312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AD3D5870-3A42-41D8-A7F0-1C3B05A8C149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1" name="TextBox 1">
          <a:extLst>
            <a:ext uri="{FF2B5EF4-FFF2-40B4-BE49-F238E27FC236}">
              <a16:creationId xmlns:a16="http://schemas.microsoft.com/office/drawing/2014/main" id="{C207826E-04F8-4C41-BDC7-7DD7B33BB8F2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2" name="TextBox 1">
          <a:extLst>
            <a:ext uri="{FF2B5EF4-FFF2-40B4-BE49-F238E27FC236}">
              <a16:creationId xmlns:a16="http://schemas.microsoft.com/office/drawing/2014/main" id="{EE5B3770-E005-4856-A39A-79042D6A5C55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6944BBC-762C-4695-A14B-B8FA25348C0A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73CF1DB4-ED44-4F5F-9474-6366DF84C61B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5" name="TextBox 1">
          <a:extLst>
            <a:ext uri="{FF2B5EF4-FFF2-40B4-BE49-F238E27FC236}">
              <a16:creationId xmlns:a16="http://schemas.microsoft.com/office/drawing/2014/main" id="{5D9E810C-7187-48BF-9FB5-13727039003F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6" name="TextBox 1">
          <a:extLst>
            <a:ext uri="{FF2B5EF4-FFF2-40B4-BE49-F238E27FC236}">
              <a16:creationId xmlns:a16="http://schemas.microsoft.com/office/drawing/2014/main" id="{3A4D01BC-9D40-4A81-9392-0244FF1FA60C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DF3DB94-66F7-4DC7-9D76-82F5FAA3C25D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CFB4C23-CB6A-4A6D-ADBF-11A1ADF4363E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9" name="TextBox 1">
          <a:extLst>
            <a:ext uri="{FF2B5EF4-FFF2-40B4-BE49-F238E27FC236}">
              <a16:creationId xmlns:a16="http://schemas.microsoft.com/office/drawing/2014/main" id="{160EC641-BDA4-4891-9191-8D493B06915C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0" name="TextBox 1">
          <a:extLst>
            <a:ext uri="{FF2B5EF4-FFF2-40B4-BE49-F238E27FC236}">
              <a16:creationId xmlns:a16="http://schemas.microsoft.com/office/drawing/2014/main" id="{1C1A508B-7605-4681-8FDC-230445666285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B5865637-5170-4626-BFDF-29D208379B9E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ACD2A1FA-A599-4170-A90E-840EF4BBA86A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3" name="TextBox 1">
          <a:extLst>
            <a:ext uri="{FF2B5EF4-FFF2-40B4-BE49-F238E27FC236}">
              <a16:creationId xmlns:a16="http://schemas.microsoft.com/office/drawing/2014/main" id="{70556552-6D5E-49DB-B852-525E3A1901B3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4" name="TextBox 1">
          <a:extLst>
            <a:ext uri="{FF2B5EF4-FFF2-40B4-BE49-F238E27FC236}">
              <a16:creationId xmlns:a16="http://schemas.microsoft.com/office/drawing/2014/main" id="{0F8CB4EE-C656-48F4-9CCE-5C53371D6C81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308621D8-D6E5-4E91-A81E-43BC54ADF63B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725B690E-2065-4035-9853-B9D6789A3E4C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7" name="TextBox 1">
          <a:extLst>
            <a:ext uri="{FF2B5EF4-FFF2-40B4-BE49-F238E27FC236}">
              <a16:creationId xmlns:a16="http://schemas.microsoft.com/office/drawing/2014/main" id="{5D3C914B-9D2B-4F02-8915-EF371B935AFD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8" name="TextBox 1">
          <a:extLst>
            <a:ext uri="{FF2B5EF4-FFF2-40B4-BE49-F238E27FC236}">
              <a16:creationId xmlns:a16="http://schemas.microsoft.com/office/drawing/2014/main" id="{49EAD10D-5A6A-4BCD-B3F2-169AF8FCE057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E84068D9-2134-41E5-9306-E4FA83C2C9DB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A92305C4-55BF-4D6F-A2AB-D71A910261E3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1" name="TextBox 1">
          <a:extLst>
            <a:ext uri="{FF2B5EF4-FFF2-40B4-BE49-F238E27FC236}">
              <a16:creationId xmlns:a16="http://schemas.microsoft.com/office/drawing/2014/main" id="{D930D30F-06B5-43AB-9456-CF834F8E53D5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2" name="TextBox 1">
          <a:extLst>
            <a:ext uri="{FF2B5EF4-FFF2-40B4-BE49-F238E27FC236}">
              <a16:creationId xmlns:a16="http://schemas.microsoft.com/office/drawing/2014/main" id="{85244C3A-95FF-4118-B054-CB299A6FF392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8BC20F7-3256-4785-987C-9E39E9E02E84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316C953C-A02A-479A-955A-745A032EF8F9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5" name="TextBox 1">
          <a:extLst>
            <a:ext uri="{FF2B5EF4-FFF2-40B4-BE49-F238E27FC236}">
              <a16:creationId xmlns:a16="http://schemas.microsoft.com/office/drawing/2014/main" id="{4084C543-0401-4CD3-A089-8AACF5CEAE0B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6" name="TextBox 1">
          <a:extLst>
            <a:ext uri="{FF2B5EF4-FFF2-40B4-BE49-F238E27FC236}">
              <a16:creationId xmlns:a16="http://schemas.microsoft.com/office/drawing/2014/main" id="{6A0B59D3-36CD-41B8-9B19-9C5472CF71B8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AA02DC7-8C44-4B2D-9640-1941877CDF49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EBD23480-1C10-4FBE-9D75-7E54D31CAAB4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9" name="TextBox 1">
          <a:extLst>
            <a:ext uri="{FF2B5EF4-FFF2-40B4-BE49-F238E27FC236}">
              <a16:creationId xmlns:a16="http://schemas.microsoft.com/office/drawing/2014/main" id="{A536D504-45AC-4164-882D-23AC3F2A998C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0" name="TextBox 1">
          <a:extLst>
            <a:ext uri="{FF2B5EF4-FFF2-40B4-BE49-F238E27FC236}">
              <a16:creationId xmlns:a16="http://schemas.microsoft.com/office/drawing/2014/main" id="{765E72E0-94BC-44AF-A0E0-087358BF3A24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5E765790-852A-4E4B-BEE1-C46A5A63C3F6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3A755145-B494-4FC0-A217-685B4F29C84E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3" name="TextBox 1">
          <a:extLst>
            <a:ext uri="{FF2B5EF4-FFF2-40B4-BE49-F238E27FC236}">
              <a16:creationId xmlns:a16="http://schemas.microsoft.com/office/drawing/2014/main" id="{3C2C3035-F58E-426B-BC96-ADD51D08AFCF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4" name="TextBox 1">
          <a:extLst>
            <a:ext uri="{FF2B5EF4-FFF2-40B4-BE49-F238E27FC236}">
              <a16:creationId xmlns:a16="http://schemas.microsoft.com/office/drawing/2014/main" id="{35EEC8D4-5B06-47A4-9B83-C7C72F66153F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529C839-3A5B-4A23-837B-4E60D7E09376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DDCA50AE-A24B-44D3-8C98-AC96D2062C83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1CDF5562-91FF-4114-9359-ADEF45645B3E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8" name="TextBox 1">
          <a:extLst>
            <a:ext uri="{FF2B5EF4-FFF2-40B4-BE49-F238E27FC236}">
              <a16:creationId xmlns:a16="http://schemas.microsoft.com/office/drawing/2014/main" id="{AA7EDE05-F63E-42F9-9C98-B5ABA1C0C462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9" name="TextBox 1">
          <a:extLst>
            <a:ext uri="{FF2B5EF4-FFF2-40B4-BE49-F238E27FC236}">
              <a16:creationId xmlns:a16="http://schemas.microsoft.com/office/drawing/2014/main" id="{BA77785C-C666-4525-96C2-CDB1B40BD394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CA10BCB9-A039-4CD0-A9C1-3F14BA3A92A1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E8AEFE37-4C37-4E0E-A1FA-961DF0673E41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2" name="TextBox 1">
          <a:extLst>
            <a:ext uri="{FF2B5EF4-FFF2-40B4-BE49-F238E27FC236}">
              <a16:creationId xmlns:a16="http://schemas.microsoft.com/office/drawing/2014/main" id="{C24E936E-5F76-404A-8362-70F744239A4C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3" name="TextBox 1">
          <a:extLst>
            <a:ext uri="{FF2B5EF4-FFF2-40B4-BE49-F238E27FC236}">
              <a16:creationId xmlns:a16="http://schemas.microsoft.com/office/drawing/2014/main" id="{409EBFBA-7847-47C7-866F-7C3B6A71DEED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3AFAC7C-66FA-4A28-AC05-37C90B862565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5A0D3BD8-8B4C-4CB3-A76E-A684B7EDF073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6" name="TextBox 1">
          <a:extLst>
            <a:ext uri="{FF2B5EF4-FFF2-40B4-BE49-F238E27FC236}">
              <a16:creationId xmlns:a16="http://schemas.microsoft.com/office/drawing/2014/main" id="{5A8B0E6B-F93A-4523-A786-6FC4894FE9FC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7" name="TextBox 1">
          <a:extLst>
            <a:ext uri="{FF2B5EF4-FFF2-40B4-BE49-F238E27FC236}">
              <a16:creationId xmlns:a16="http://schemas.microsoft.com/office/drawing/2014/main" id="{C0A2C7A7-D70A-4825-92B7-33AA56B2FFDE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28014C70-D35D-48B7-A628-A05D8B7C4B30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D3042DE8-CFAE-4F43-AE6C-052028FC2A73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0" name="TextBox 1">
          <a:extLst>
            <a:ext uri="{FF2B5EF4-FFF2-40B4-BE49-F238E27FC236}">
              <a16:creationId xmlns:a16="http://schemas.microsoft.com/office/drawing/2014/main" id="{6CE46A45-6885-461B-AB98-2BE78DE5B078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1" name="TextBox 1">
          <a:extLst>
            <a:ext uri="{FF2B5EF4-FFF2-40B4-BE49-F238E27FC236}">
              <a16:creationId xmlns:a16="http://schemas.microsoft.com/office/drawing/2014/main" id="{9FF0533E-0751-461C-BBA5-10B4B4265A7D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7EBFEFCA-9DC8-430A-BF44-236533F3E203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1244784E-A308-479A-9DB0-FC55032A1F23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4" name="TextBox 1">
          <a:extLst>
            <a:ext uri="{FF2B5EF4-FFF2-40B4-BE49-F238E27FC236}">
              <a16:creationId xmlns:a16="http://schemas.microsoft.com/office/drawing/2014/main" id="{840449A4-F41D-4E42-9789-A5B5061B5CA1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5" name="TextBox 1">
          <a:extLst>
            <a:ext uri="{FF2B5EF4-FFF2-40B4-BE49-F238E27FC236}">
              <a16:creationId xmlns:a16="http://schemas.microsoft.com/office/drawing/2014/main" id="{48D7BEA4-54E9-4DFB-ABDA-3830C948D6B2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12489E6E-E9AC-4481-B8F2-D0C2114CED33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6874929B-3C9D-40F4-B958-858E9F1F2E47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8" name="TextBox 1">
          <a:extLst>
            <a:ext uri="{FF2B5EF4-FFF2-40B4-BE49-F238E27FC236}">
              <a16:creationId xmlns:a16="http://schemas.microsoft.com/office/drawing/2014/main" id="{FAA761B5-BBC0-47C9-B5E2-50BE74E67283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9" name="TextBox 1">
          <a:extLst>
            <a:ext uri="{FF2B5EF4-FFF2-40B4-BE49-F238E27FC236}">
              <a16:creationId xmlns:a16="http://schemas.microsoft.com/office/drawing/2014/main" id="{B196756F-2ACC-49CA-85F9-02DE408F4C4D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77CA600F-3D3E-40D0-9557-6EB70B486B8C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CB0ABEB7-87A8-4403-9A2B-F542D92028A1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2" name="TextBox 1">
          <a:extLst>
            <a:ext uri="{FF2B5EF4-FFF2-40B4-BE49-F238E27FC236}">
              <a16:creationId xmlns:a16="http://schemas.microsoft.com/office/drawing/2014/main" id="{12ED7732-28EB-4595-975C-1F091495712B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3" name="TextBox 1">
          <a:extLst>
            <a:ext uri="{FF2B5EF4-FFF2-40B4-BE49-F238E27FC236}">
              <a16:creationId xmlns:a16="http://schemas.microsoft.com/office/drawing/2014/main" id="{B10769C4-961B-4CA7-9D4B-27C31030DAF2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4F225CD1-9B37-491A-99A2-45769CFA66A8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6BE669E9-1D39-4993-AF5C-6CBEA88FFDEE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6" name="TextBox 1">
          <a:extLst>
            <a:ext uri="{FF2B5EF4-FFF2-40B4-BE49-F238E27FC236}">
              <a16:creationId xmlns:a16="http://schemas.microsoft.com/office/drawing/2014/main" id="{06924E06-2A12-4A99-97EC-B48B11DC9DE6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7" name="TextBox 1">
          <a:extLst>
            <a:ext uri="{FF2B5EF4-FFF2-40B4-BE49-F238E27FC236}">
              <a16:creationId xmlns:a16="http://schemas.microsoft.com/office/drawing/2014/main" id="{A3127D02-7332-46C5-9F35-B830D7D8B5B6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A0B377EC-136A-4362-B072-0CBF2CB44206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63F01034-C19B-4290-AEC3-D779CA40CC00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30" name="TextBox 1">
          <a:extLst>
            <a:ext uri="{FF2B5EF4-FFF2-40B4-BE49-F238E27FC236}">
              <a16:creationId xmlns:a16="http://schemas.microsoft.com/office/drawing/2014/main" id="{DCD3C9FC-E17A-46A7-A8D4-CEC7A14A2D79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31" name="TextBox 1">
          <a:extLst>
            <a:ext uri="{FF2B5EF4-FFF2-40B4-BE49-F238E27FC236}">
              <a16:creationId xmlns:a16="http://schemas.microsoft.com/office/drawing/2014/main" id="{8E2F5B74-AB4C-4D92-92DA-EDF75D65680B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A7990BD6-1BDF-4B3B-B711-4B58B1F828F2}"/>
            </a:ext>
          </a:extLst>
        </xdr:cNvPr>
        <xdr:cNvSpPr txBox="1"/>
      </xdr:nvSpPr>
      <xdr:spPr>
        <a:xfrm>
          <a:off x="11336383" y="33070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2DC56AD-7971-4A38-8E1D-3C87391F09D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" name="TextBox 1">
          <a:extLst>
            <a:ext uri="{FF2B5EF4-FFF2-40B4-BE49-F238E27FC236}">
              <a16:creationId xmlns:a16="http://schemas.microsoft.com/office/drawing/2014/main" id="{C80F1CCD-F11A-4D9D-80E6-5F35F056516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" name="TextBox 1">
          <a:extLst>
            <a:ext uri="{FF2B5EF4-FFF2-40B4-BE49-F238E27FC236}">
              <a16:creationId xmlns:a16="http://schemas.microsoft.com/office/drawing/2014/main" id="{F64D1ED6-7E2A-428C-8BFC-2D4443DD6E9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1B3FC4D6-1787-4493-BF15-746D215B996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573226B-0F62-46AA-BF0E-1DE3B528C77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" name="TextBox 1">
          <a:extLst>
            <a:ext uri="{FF2B5EF4-FFF2-40B4-BE49-F238E27FC236}">
              <a16:creationId xmlns:a16="http://schemas.microsoft.com/office/drawing/2014/main" id="{067C7C60-D5CC-4DE2-9997-AFC13D1A09C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" name="TextBox 1">
          <a:extLst>
            <a:ext uri="{FF2B5EF4-FFF2-40B4-BE49-F238E27FC236}">
              <a16:creationId xmlns:a16="http://schemas.microsoft.com/office/drawing/2014/main" id="{9A191C46-4B51-409C-80D2-12007358EC4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BF1AA009-B910-4061-8570-E4DA004EF4E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229F0453-29E9-43CF-B5BA-95F3D837FB4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F654DC62-75A2-4AFF-BD76-4A95621AB33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" name="TextBox 1">
          <a:extLst>
            <a:ext uri="{FF2B5EF4-FFF2-40B4-BE49-F238E27FC236}">
              <a16:creationId xmlns:a16="http://schemas.microsoft.com/office/drawing/2014/main" id="{89513F66-C694-4E79-BB37-DE22A27BDAC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" name="TextBox 1">
          <a:extLst>
            <a:ext uri="{FF2B5EF4-FFF2-40B4-BE49-F238E27FC236}">
              <a16:creationId xmlns:a16="http://schemas.microsoft.com/office/drawing/2014/main" id="{DD047005-1DAF-43C3-94E2-0E56FD0CDF9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2A6AD722-5ED9-4550-89FE-620B21A0EDB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D5AE88-67E6-40D5-8211-A6471354F6A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" name="TextBox 1">
          <a:extLst>
            <a:ext uri="{FF2B5EF4-FFF2-40B4-BE49-F238E27FC236}">
              <a16:creationId xmlns:a16="http://schemas.microsoft.com/office/drawing/2014/main" id="{1B49EAF0-B6D7-4C58-81E6-BCC5656258F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" name="TextBox 1">
          <a:extLst>
            <a:ext uri="{FF2B5EF4-FFF2-40B4-BE49-F238E27FC236}">
              <a16:creationId xmlns:a16="http://schemas.microsoft.com/office/drawing/2014/main" id="{77A676E8-71DF-4F44-BF15-92D6C859703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AADDD685-3EE4-43AB-B4AE-AFE70E1C12B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3CFA30F8-FBD5-47A2-B09D-6F23C06F6DE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" name="TextBox 1">
          <a:extLst>
            <a:ext uri="{FF2B5EF4-FFF2-40B4-BE49-F238E27FC236}">
              <a16:creationId xmlns:a16="http://schemas.microsoft.com/office/drawing/2014/main" id="{4A8536F8-0B23-4ACA-9602-B55CAD78A1A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" name="TextBox 1">
          <a:extLst>
            <a:ext uri="{FF2B5EF4-FFF2-40B4-BE49-F238E27FC236}">
              <a16:creationId xmlns:a16="http://schemas.microsoft.com/office/drawing/2014/main" id="{AE2A7569-8FFC-4754-B925-AF019F896F9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65B91CB2-6DC5-45D9-B79F-D6D169910B1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D8267B58-22AA-424C-8C48-F505C36CD72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" name="TextBox 1">
          <a:extLst>
            <a:ext uri="{FF2B5EF4-FFF2-40B4-BE49-F238E27FC236}">
              <a16:creationId xmlns:a16="http://schemas.microsoft.com/office/drawing/2014/main" id="{9153C8CA-9371-454C-B4BD-56A86E49A49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" name="TextBox 1">
          <a:extLst>
            <a:ext uri="{FF2B5EF4-FFF2-40B4-BE49-F238E27FC236}">
              <a16:creationId xmlns:a16="http://schemas.microsoft.com/office/drawing/2014/main" id="{968810BF-CB21-4931-B3EF-FCC5BF3EEDD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A9DF0161-3155-4121-A205-ACE6FE7E55A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F4F09A76-4434-4058-9AEE-AD3E701E4DC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" name="TextBox 1">
          <a:extLst>
            <a:ext uri="{FF2B5EF4-FFF2-40B4-BE49-F238E27FC236}">
              <a16:creationId xmlns:a16="http://schemas.microsoft.com/office/drawing/2014/main" id="{5387F2DE-35C1-49CB-B5F5-2492392D248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" name="TextBox 1">
          <a:extLst>
            <a:ext uri="{FF2B5EF4-FFF2-40B4-BE49-F238E27FC236}">
              <a16:creationId xmlns:a16="http://schemas.microsoft.com/office/drawing/2014/main" id="{1818E521-5180-45F1-B70F-2DBEA00A7A7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F9C8B8D7-E879-4DBD-9B99-146A437E28E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DA20DD6C-54B5-4805-9A13-D4AACFFC69D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" name="TextBox 1">
          <a:extLst>
            <a:ext uri="{FF2B5EF4-FFF2-40B4-BE49-F238E27FC236}">
              <a16:creationId xmlns:a16="http://schemas.microsoft.com/office/drawing/2014/main" id="{5E9B3C62-B6D9-4E96-8108-5A730975FD7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" name="TextBox 1">
          <a:extLst>
            <a:ext uri="{FF2B5EF4-FFF2-40B4-BE49-F238E27FC236}">
              <a16:creationId xmlns:a16="http://schemas.microsoft.com/office/drawing/2014/main" id="{33441B02-7ACB-4218-BBCD-A113361C4BB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6FC8AB57-8F3D-4743-8541-802DCC23E82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D70F9A58-A7BD-4B3C-B1A8-09FB460055C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" name="TextBox 1">
          <a:extLst>
            <a:ext uri="{FF2B5EF4-FFF2-40B4-BE49-F238E27FC236}">
              <a16:creationId xmlns:a16="http://schemas.microsoft.com/office/drawing/2014/main" id="{C33A9F55-494D-4B27-B733-75D961520C5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" name="TextBox 1">
          <a:extLst>
            <a:ext uri="{FF2B5EF4-FFF2-40B4-BE49-F238E27FC236}">
              <a16:creationId xmlns:a16="http://schemas.microsoft.com/office/drawing/2014/main" id="{8E136BEB-C92C-427C-BB25-3C48E1AF669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D779DC63-E79D-4526-B160-E7E98DA7456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31F8778A-23E1-4FD9-AD0B-CA55AAFCD8C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" name="TextBox 1">
          <a:extLst>
            <a:ext uri="{FF2B5EF4-FFF2-40B4-BE49-F238E27FC236}">
              <a16:creationId xmlns:a16="http://schemas.microsoft.com/office/drawing/2014/main" id="{52BF02F8-A8D8-491E-95AC-47C9ABC7CAE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" name="TextBox 1">
          <a:extLst>
            <a:ext uri="{FF2B5EF4-FFF2-40B4-BE49-F238E27FC236}">
              <a16:creationId xmlns:a16="http://schemas.microsoft.com/office/drawing/2014/main" id="{4C1004F8-1041-4C8F-BD6D-090CE41614F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8FB14888-D819-48C4-B7BA-562E18CE4A6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A232EA54-97B8-4366-9BB1-84C4C7A51FC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" name="TextBox 1">
          <a:extLst>
            <a:ext uri="{FF2B5EF4-FFF2-40B4-BE49-F238E27FC236}">
              <a16:creationId xmlns:a16="http://schemas.microsoft.com/office/drawing/2014/main" id="{CC47E77F-FA4C-44CE-8031-712D7B9F582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" name="TextBox 1">
          <a:extLst>
            <a:ext uri="{FF2B5EF4-FFF2-40B4-BE49-F238E27FC236}">
              <a16:creationId xmlns:a16="http://schemas.microsoft.com/office/drawing/2014/main" id="{0B9DEF73-FA44-4D05-A871-2C4B2A75789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95EC4C17-FD63-44CC-ADA3-BD677F4F445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" name="TextBox 1">
          <a:extLst>
            <a:ext uri="{FF2B5EF4-FFF2-40B4-BE49-F238E27FC236}">
              <a16:creationId xmlns:a16="http://schemas.microsoft.com/office/drawing/2014/main" id="{BB3FF890-3876-4333-B71C-8850BDAA1BD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" name="TextBox 1">
          <a:extLst>
            <a:ext uri="{FF2B5EF4-FFF2-40B4-BE49-F238E27FC236}">
              <a16:creationId xmlns:a16="http://schemas.microsoft.com/office/drawing/2014/main" id="{42691F91-8CAF-4BB4-B126-C5CBC96BE9C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F9950079-D021-450B-AE71-37F672A0FAA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" name="TextBox 1">
          <a:extLst>
            <a:ext uri="{FF2B5EF4-FFF2-40B4-BE49-F238E27FC236}">
              <a16:creationId xmlns:a16="http://schemas.microsoft.com/office/drawing/2014/main" id="{03C5C82C-AE5F-4FE2-8D2E-3586B7F70E9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3E522A15-9013-41BE-A761-DC258F6C171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" name="TextBox 1">
          <a:extLst>
            <a:ext uri="{FF2B5EF4-FFF2-40B4-BE49-F238E27FC236}">
              <a16:creationId xmlns:a16="http://schemas.microsoft.com/office/drawing/2014/main" id="{6C09B4C4-9650-41E4-A4C6-010A5A35CD6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" name="TextBox 1">
          <a:extLst>
            <a:ext uri="{FF2B5EF4-FFF2-40B4-BE49-F238E27FC236}">
              <a16:creationId xmlns:a16="http://schemas.microsoft.com/office/drawing/2014/main" id="{8AE257AC-A26E-4D70-A101-B9AC188AD34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963D7119-8995-4A38-8FE9-D8CB527E490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1D2BF3EC-8B5F-4127-BE4A-763532EA57F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" name="TextBox 1">
          <a:extLst>
            <a:ext uri="{FF2B5EF4-FFF2-40B4-BE49-F238E27FC236}">
              <a16:creationId xmlns:a16="http://schemas.microsoft.com/office/drawing/2014/main" id="{6C2A8D18-E011-47ED-89E0-A853897D0D2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" name="TextBox 1">
          <a:extLst>
            <a:ext uri="{FF2B5EF4-FFF2-40B4-BE49-F238E27FC236}">
              <a16:creationId xmlns:a16="http://schemas.microsoft.com/office/drawing/2014/main" id="{72554F49-1F8E-4800-9AF5-DF3F453FA5D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5508FC00-8969-4F37-8EDE-B2C9601CE24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714EBCD1-77CF-4124-9EF1-10FCEFFEA55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303FEF4A-991E-4FBA-9685-CD3A9499ECD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" name="TextBox 1">
          <a:extLst>
            <a:ext uri="{FF2B5EF4-FFF2-40B4-BE49-F238E27FC236}">
              <a16:creationId xmlns:a16="http://schemas.microsoft.com/office/drawing/2014/main" id="{007EA4A1-361B-4670-AAE6-3034EA3F2B5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" name="TextBox 1">
          <a:extLst>
            <a:ext uri="{FF2B5EF4-FFF2-40B4-BE49-F238E27FC236}">
              <a16:creationId xmlns:a16="http://schemas.microsoft.com/office/drawing/2014/main" id="{D6021622-0207-4245-A525-2749B0EBC4F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432C96C8-97B1-4486-9496-5551D97CC14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62221CCC-581D-48FA-9111-CA134F2CFE7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6" name="TextBox 1">
          <a:extLst>
            <a:ext uri="{FF2B5EF4-FFF2-40B4-BE49-F238E27FC236}">
              <a16:creationId xmlns:a16="http://schemas.microsoft.com/office/drawing/2014/main" id="{56CD73CB-16A7-453A-9F0E-22748E6B394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7" name="TextBox 1">
          <a:extLst>
            <a:ext uri="{FF2B5EF4-FFF2-40B4-BE49-F238E27FC236}">
              <a16:creationId xmlns:a16="http://schemas.microsoft.com/office/drawing/2014/main" id="{AA1FF852-C5AB-4855-B1F3-3302C587A88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2AE215D3-2DC2-4739-B8CF-07A039A6653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8F1DA445-B660-406C-B579-67D50564E19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0" name="TextBox 1">
          <a:extLst>
            <a:ext uri="{FF2B5EF4-FFF2-40B4-BE49-F238E27FC236}">
              <a16:creationId xmlns:a16="http://schemas.microsoft.com/office/drawing/2014/main" id="{0C07A3BA-9F57-4225-AC7B-4994709ED36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1" name="TextBox 1">
          <a:extLst>
            <a:ext uri="{FF2B5EF4-FFF2-40B4-BE49-F238E27FC236}">
              <a16:creationId xmlns:a16="http://schemas.microsoft.com/office/drawing/2014/main" id="{4DF5556E-EE60-43F3-99F5-D59F56742ED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323A394D-D4A1-44A6-A440-60C4B56DAEF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8413589D-C876-426F-A79D-6C077617A00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4" name="TextBox 1">
          <a:extLst>
            <a:ext uri="{FF2B5EF4-FFF2-40B4-BE49-F238E27FC236}">
              <a16:creationId xmlns:a16="http://schemas.microsoft.com/office/drawing/2014/main" id="{E324EE51-DBBB-4008-A7D8-0516FBB1342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5" name="TextBox 1">
          <a:extLst>
            <a:ext uri="{FF2B5EF4-FFF2-40B4-BE49-F238E27FC236}">
              <a16:creationId xmlns:a16="http://schemas.microsoft.com/office/drawing/2014/main" id="{684745C4-0963-4511-A762-4EFA31296AF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501B106F-4737-4860-91C5-6CE5B0528E6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B3A2B984-4B62-4D90-90F0-7FFCF9BC66F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8" name="TextBox 1">
          <a:extLst>
            <a:ext uri="{FF2B5EF4-FFF2-40B4-BE49-F238E27FC236}">
              <a16:creationId xmlns:a16="http://schemas.microsoft.com/office/drawing/2014/main" id="{06417B95-3AB1-482B-A416-11E4F4BF3F0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9" name="TextBox 1">
          <a:extLst>
            <a:ext uri="{FF2B5EF4-FFF2-40B4-BE49-F238E27FC236}">
              <a16:creationId xmlns:a16="http://schemas.microsoft.com/office/drawing/2014/main" id="{C8F5AA6D-D638-449E-85C0-56851A09A05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FF485FB-1C18-42E6-A9DA-42CED182E7D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1A26520F-2B91-4392-BF02-44662FBB499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2" name="TextBox 1">
          <a:extLst>
            <a:ext uri="{FF2B5EF4-FFF2-40B4-BE49-F238E27FC236}">
              <a16:creationId xmlns:a16="http://schemas.microsoft.com/office/drawing/2014/main" id="{F79268DF-A7AB-4340-AAA8-95E18429526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3" name="TextBox 1">
          <a:extLst>
            <a:ext uri="{FF2B5EF4-FFF2-40B4-BE49-F238E27FC236}">
              <a16:creationId xmlns:a16="http://schemas.microsoft.com/office/drawing/2014/main" id="{63E1B91D-45F5-4BF2-98D8-76BDA6EDD66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594DDC8-335A-404C-A0BE-C72A5211E4E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684F3C09-8780-4656-83D6-5E827A70F11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6" name="TextBox 1">
          <a:extLst>
            <a:ext uri="{FF2B5EF4-FFF2-40B4-BE49-F238E27FC236}">
              <a16:creationId xmlns:a16="http://schemas.microsoft.com/office/drawing/2014/main" id="{1C3DB0F0-836C-4B9D-BDE4-0964A96381E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7" name="TextBox 1">
          <a:extLst>
            <a:ext uri="{FF2B5EF4-FFF2-40B4-BE49-F238E27FC236}">
              <a16:creationId xmlns:a16="http://schemas.microsoft.com/office/drawing/2014/main" id="{BB9D686B-C7EC-4429-B065-A85815BCD8F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3585E55A-F7BD-4D89-BA61-1C01C232AAF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4D948BE3-1391-4B96-9746-1CE008DD6D1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0" name="TextBox 1">
          <a:extLst>
            <a:ext uri="{FF2B5EF4-FFF2-40B4-BE49-F238E27FC236}">
              <a16:creationId xmlns:a16="http://schemas.microsoft.com/office/drawing/2014/main" id="{91B1414A-EDD3-4582-8AEA-61B4A4BF438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1" name="TextBox 1">
          <a:extLst>
            <a:ext uri="{FF2B5EF4-FFF2-40B4-BE49-F238E27FC236}">
              <a16:creationId xmlns:a16="http://schemas.microsoft.com/office/drawing/2014/main" id="{58D24CFD-ABD1-4D4B-8325-5CB4F79489E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A6DEBFCD-0889-45AF-8F2D-78FC82E6642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88A50932-23FD-4BE3-96CA-09D0E971B07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4" name="TextBox 1">
          <a:extLst>
            <a:ext uri="{FF2B5EF4-FFF2-40B4-BE49-F238E27FC236}">
              <a16:creationId xmlns:a16="http://schemas.microsoft.com/office/drawing/2014/main" id="{4665D69C-2BAA-4BA9-82FC-FF6DA49D76A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5" name="TextBox 1">
          <a:extLst>
            <a:ext uri="{FF2B5EF4-FFF2-40B4-BE49-F238E27FC236}">
              <a16:creationId xmlns:a16="http://schemas.microsoft.com/office/drawing/2014/main" id="{23AAEA31-3EE9-4DA8-BDA7-19732DF6268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3084DC76-2C2A-4FDD-8C7A-D8B70B42FEE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9A2AE30A-E67D-4832-ABFF-3F6B6408196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19C6AF79-7CA9-412E-BD4E-5A48DB743BA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9" name="TextBox 1">
          <a:extLst>
            <a:ext uri="{FF2B5EF4-FFF2-40B4-BE49-F238E27FC236}">
              <a16:creationId xmlns:a16="http://schemas.microsoft.com/office/drawing/2014/main" id="{14A8D576-68AE-449A-9CAB-8ABF7462FAF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0" name="TextBox 1">
          <a:extLst>
            <a:ext uri="{FF2B5EF4-FFF2-40B4-BE49-F238E27FC236}">
              <a16:creationId xmlns:a16="http://schemas.microsoft.com/office/drawing/2014/main" id="{CA755470-0148-4D19-A7D6-5B158D992AD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A715A83E-2D90-43B4-992B-2235D4DD1B8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74641A63-EF9D-47C2-97F6-A8D1FAA01C2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3" name="TextBox 1">
          <a:extLst>
            <a:ext uri="{FF2B5EF4-FFF2-40B4-BE49-F238E27FC236}">
              <a16:creationId xmlns:a16="http://schemas.microsoft.com/office/drawing/2014/main" id="{4A4D2CCE-7137-4FEA-861B-E0CF6908270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4" name="TextBox 1">
          <a:extLst>
            <a:ext uri="{FF2B5EF4-FFF2-40B4-BE49-F238E27FC236}">
              <a16:creationId xmlns:a16="http://schemas.microsoft.com/office/drawing/2014/main" id="{37EE906D-B830-4712-A050-9B66AE0BF20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16287772-2E29-4FB0-9D0F-A64BC6D6E42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4875C99F-D284-416A-963D-49CA7E2079A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7" name="TextBox 1">
          <a:extLst>
            <a:ext uri="{FF2B5EF4-FFF2-40B4-BE49-F238E27FC236}">
              <a16:creationId xmlns:a16="http://schemas.microsoft.com/office/drawing/2014/main" id="{90B64917-D1BE-45A8-82F7-0C24E7068D3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8" name="TextBox 1">
          <a:extLst>
            <a:ext uri="{FF2B5EF4-FFF2-40B4-BE49-F238E27FC236}">
              <a16:creationId xmlns:a16="http://schemas.microsoft.com/office/drawing/2014/main" id="{0E981DCE-59D5-4910-AF2A-4DFBB308DB5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65A494E9-4A49-41F0-9DF5-F5B20BD5A80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FF2C8384-FF5C-4F79-B19E-1F128C28F41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1" name="TextBox 1">
          <a:extLst>
            <a:ext uri="{FF2B5EF4-FFF2-40B4-BE49-F238E27FC236}">
              <a16:creationId xmlns:a16="http://schemas.microsoft.com/office/drawing/2014/main" id="{2BD99FB7-1298-4466-912D-7E10A2F8E51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2" name="TextBox 1">
          <a:extLst>
            <a:ext uri="{FF2B5EF4-FFF2-40B4-BE49-F238E27FC236}">
              <a16:creationId xmlns:a16="http://schemas.microsoft.com/office/drawing/2014/main" id="{5E18EDEF-77EE-4112-B627-C58EEDC47BA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B7CE7ECE-2669-4CFE-B007-4D07FDDCCBA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4CED0D28-890D-4361-8ABE-545C1F5E67B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5" name="TextBox 1">
          <a:extLst>
            <a:ext uri="{FF2B5EF4-FFF2-40B4-BE49-F238E27FC236}">
              <a16:creationId xmlns:a16="http://schemas.microsoft.com/office/drawing/2014/main" id="{C07D7D43-0B4F-48DD-8085-6FBD8A9AC91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6" name="TextBox 1">
          <a:extLst>
            <a:ext uri="{FF2B5EF4-FFF2-40B4-BE49-F238E27FC236}">
              <a16:creationId xmlns:a16="http://schemas.microsoft.com/office/drawing/2014/main" id="{44E47DB7-0A1A-40BB-915A-EE325844D9B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9829E83C-DBFD-42A5-9019-21311C27864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43AD646E-0DEF-4C77-8351-5EC782DEDF0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9" name="TextBox 1">
          <a:extLst>
            <a:ext uri="{FF2B5EF4-FFF2-40B4-BE49-F238E27FC236}">
              <a16:creationId xmlns:a16="http://schemas.microsoft.com/office/drawing/2014/main" id="{DBD808C0-2A5D-430D-9960-06E40189AC7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0" name="TextBox 1">
          <a:extLst>
            <a:ext uri="{FF2B5EF4-FFF2-40B4-BE49-F238E27FC236}">
              <a16:creationId xmlns:a16="http://schemas.microsoft.com/office/drawing/2014/main" id="{85588D6C-A589-49D0-A0D3-983D35F33FC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1B9C35D5-CFF8-4ACA-9A2A-671156B8F88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2E4871BF-7ECA-49FA-811D-113A0A4C57B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3" name="TextBox 1">
          <a:extLst>
            <a:ext uri="{FF2B5EF4-FFF2-40B4-BE49-F238E27FC236}">
              <a16:creationId xmlns:a16="http://schemas.microsoft.com/office/drawing/2014/main" id="{3047CAC3-902F-4AE0-9428-9FFBAB978FF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4" name="TextBox 1">
          <a:extLst>
            <a:ext uri="{FF2B5EF4-FFF2-40B4-BE49-F238E27FC236}">
              <a16:creationId xmlns:a16="http://schemas.microsoft.com/office/drawing/2014/main" id="{D84135DF-8185-4D1E-8CC3-C271E5E9520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F567A0E0-FAEF-4B52-A686-D25EF9F2589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5DC7D2BD-2C49-461E-BC27-463CD89BDD0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7" name="TextBox 1">
          <a:extLst>
            <a:ext uri="{FF2B5EF4-FFF2-40B4-BE49-F238E27FC236}">
              <a16:creationId xmlns:a16="http://schemas.microsoft.com/office/drawing/2014/main" id="{27622681-F42B-4BDF-AD9C-C6B66DE0536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8" name="TextBox 1">
          <a:extLst>
            <a:ext uri="{FF2B5EF4-FFF2-40B4-BE49-F238E27FC236}">
              <a16:creationId xmlns:a16="http://schemas.microsoft.com/office/drawing/2014/main" id="{6599E7D1-1A94-4858-BBA9-D49D2340686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F96A8B0D-AA74-43C2-9F3C-AD36D37FC6A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E3B9670D-2195-487A-AEAC-6246D4533A1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1" name="TextBox 1">
          <a:extLst>
            <a:ext uri="{FF2B5EF4-FFF2-40B4-BE49-F238E27FC236}">
              <a16:creationId xmlns:a16="http://schemas.microsoft.com/office/drawing/2014/main" id="{DBC8B155-D50A-4347-9948-6140D15DC1D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2" name="TextBox 1">
          <a:extLst>
            <a:ext uri="{FF2B5EF4-FFF2-40B4-BE49-F238E27FC236}">
              <a16:creationId xmlns:a16="http://schemas.microsoft.com/office/drawing/2014/main" id="{77800EC6-C30A-4A49-A701-59A77C3065B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3932BA5A-255D-427B-BAC0-91242194B22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108F4CDB-934F-4260-BB78-60A99FA3E26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5" name="TextBox 1">
          <a:extLst>
            <a:ext uri="{FF2B5EF4-FFF2-40B4-BE49-F238E27FC236}">
              <a16:creationId xmlns:a16="http://schemas.microsoft.com/office/drawing/2014/main" id="{95ECD337-2A4B-4C42-ACE2-C06E35FDE33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6" name="TextBox 1">
          <a:extLst>
            <a:ext uri="{FF2B5EF4-FFF2-40B4-BE49-F238E27FC236}">
              <a16:creationId xmlns:a16="http://schemas.microsoft.com/office/drawing/2014/main" id="{22F7AFC8-D41E-46AC-A6CF-E062E5FD5B3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DA3BB90-770C-4686-BD98-05AD1F6AEBD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9DCA1FF7-B956-41BA-885C-1CC86B344BF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9" name="TextBox 1">
          <a:extLst>
            <a:ext uri="{FF2B5EF4-FFF2-40B4-BE49-F238E27FC236}">
              <a16:creationId xmlns:a16="http://schemas.microsoft.com/office/drawing/2014/main" id="{E8718532-3A0B-417D-A962-164CC37A855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0" name="TextBox 1">
          <a:extLst>
            <a:ext uri="{FF2B5EF4-FFF2-40B4-BE49-F238E27FC236}">
              <a16:creationId xmlns:a16="http://schemas.microsoft.com/office/drawing/2014/main" id="{B5594A50-C4FC-4BA8-B0F8-F99454A1926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55BDA312-4204-4649-BC6B-5390EF5D241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63D63486-AA9A-47BB-B346-A5329F82A7A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9AF781AF-66A8-4F81-8168-A9C4EFAACD2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4" name="TextBox 1">
          <a:extLst>
            <a:ext uri="{FF2B5EF4-FFF2-40B4-BE49-F238E27FC236}">
              <a16:creationId xmlns:a16="http://schemas.microsoft.com/office/drawing/2014/main" id="{B6579128-B436-4E7E-91D5-A739C5172F5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5" name="TextBox 1">
          <a:extLst>
            <a:ext uri="{FF2B5EF4-FFF2-40B4-BE49-F238E27FC236}">
              <a16:creationId xmlns:a16="http://schemas.microsoft.com/office/drawing/2014/main" id="{5BE68A66-5277-4D55-A79E-9836647E063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CE041E58-F789-4980-956A-4E98351153D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9174660-F7CA-4C0F-B99C-F243F39CB31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8" name="TextBox 1">
          <a:extLst>
            <a:ext uri="{FF2B5EF4-FFF2-40B4-BE49-F238E27FC236}">
              <a16:creationId xmlns:a16="http://schemas.microsoft.com/office/drawing/2014/main" id="{77C26258-9F2B-45FC-ACD3-E68461FC6D6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9" name="TextBox 1">
          <a:extLst>
            <a:ext uri="{FF2B5EF4-FFF2-40B4-BE49-F238E27FC236}">
              <a16:creationId xmlns:a16="http://schemas.microsoft.com/office/drawing/2014/main" id="{B888C53E-FF19-4833-A3E2-B5BA452D9FC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84F4C587-4B3A-4E73-B53C-EC46B7EFFB7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A4FE48E-AE82-4A44-9A77-A4FEB98F3FE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2" name="TextBox 1">
          <a:extLst>
            <a:ext uri="{FF2B5EF4-FFF2-40B4-BE49-F238E27FC236}">
              <a16:creationId xmlns:a16="http://schemas.microsoft.com/office/drawing/2014/main" id="{F6C7B37C-2581-4117-9482-ECF6182B551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3" name="TextBox 1">
          <a:extLst>
            <a:ext uri="{FF2B5EF4-FFF2-40B4-BE49-F238E27FC236}">
              <a16:creationId xmlns:a16="http://schemas.microsoft.com/office/drawing/2014/main" id="{D0162F17-CD6B-4567-95D5-5DE6A428565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60F1725C-4799-4101-B11E-A47577F591E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B355453B-37FD-42DF-A473-629E94FE1AC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6" name="TextBox 1">
          <a:extLst>
            <a:ext uri="{FF2B5EF4-FFF2-40B4-BE49-F238E27FC236}">
              <a16:creationId xmlns:a16="http://schemas.microsoft.com/office/drawing/2014/main" id="{3C129642-E67F-4955-9041-273AFF3866E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7" name="TextBox 1">
          <a:extLst>
            <a:ext uri="{FF2B5EF4-FFF2-40B4-BE49-F238E27FC236}">
              <a16:creationId xmlns:a16="http://schemas.microsoft.com/office/drawing/2014/main" id="{AC5C9FC9-D4AB-411A-9C38-0578259AABD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C0D63441-E3E3-4BBE-8E96-901B3981279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A5E6651-B967-4108-BD71-BDCF2A00444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0" name="TextBox 1">
          <a:extLst>
            <a:ext uri="{FF2B5EF4-FFF2-40B4-BE49-F238E27FC236}">
              <a16:creationId xmlns:a16="http://schemas.microsoft.com/office/drawing/2014/main" id="{44672436-6416-41B7-BC50-ECA8753A85D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1" name="TextBox 1">
          <a:extLst>
            <a:ext uri="{FF2B5EF4-FFF2-40B4-BE49-F238E27FC236}">
              <a16:creationId xmlns:a16="http://schemas.microsoft.com/office/drawing/2014/main" id="{EA108860-15C3-4CD5-8440-EE5695E4301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4C453EDD-F43E-4A4B-A2CD-30DF7CE97FA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70E5215A-C7D9-4987-BF5B-BF99F241C9D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4" name="TextBox 1">
          <a:extLst>
            <a:ext uri="{FF2B5EF4-FFF2-40B4-BE49-F238E27FC236}">
              <a16:creationId xmlns:a16="http://schemas.microsoft.com/office/drawing/2014/main" id="{FCA9C681-DD71-4B3F-81D1-211DE4A3725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5" name="TextBox 1">
          <a:extLst>
            <a:ext uri="{FF2B5EF4-FFF2-40B4-BE49-F238E27FC236}">
              <a16:creationId xmlns:a16="http://schemas.microsoft.com/office/drawing/2014/main" id="{043A1C27-0707-49AC-93F0-AED6BF7B53C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6C8D8EAF-63CD-4D0E-9527-EFE4E1BEE13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5A27F88-E543-402E-98C2-89871A1DA00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8" name="TextBox 1">
          <a:extLst>
            <a:ext uri="{FF2B5EF4-FFF2-40B4-BE49-F238E27FC236}">
              <a16:creationId xmlns:a16="http://schemas.microsoft.com/office/drawing/2014/main" id="{E8D567BB-3BB4-4F74-B7EB-CDC1C5DFB80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9" name="TextBox 1">
          <a:extLst>
            <a:ext uri="{FF2B5EF4-FFF2-40B4-BE49-F238E27FC236}">
              <a16:creationId xmlns:a16="http://schemas.microsoft.com/office/drawing/2014/main" id="{4EBE7262-158B-4331-A7E6-26C4E8E89C4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F5C1DC91-DA75-4499-86DE-49D296E01CB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2E6657F7-4D53-4A7E-A32F-334A5EB6E4E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2" name="TextBox 1">
          <a:extLst>
            <a:ext uri="{FF2B5EF4-FFF2-40B4-BE49-F238E27FC236}">
              <a16:creationId xmlns:a16="http://schemas.microsoft.com/office/drawing/2014/main" id="{8259EDB3-2A62-475B-958A-BBC41F2EF44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3" name="TextBox 1">
          <a:extLst>
            <a:ext uri="{FF2B5EF4-FFF2-40B4-BE49-F238E27FC236}">
              <a16:creationId xmlns:a16="http://schemas.microsoft.com/office/drawing/2014/main" id="{C2310F0C-4269-4FED-AEA0-5764FDC31C3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4DB17ACF-36FE-4B0C-9FAD-043165A63DC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225DF9BC-2B3A-4B9E-9716-C1A1F35A4CF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6" name="TextBox 1">
          <a:extLst>
            <a:ext uri="{FF2B5EF4-FFF2-40B4-BE49-F238E27FC236}">
              <a16:creationId xmlns:a16="http://schemas.microsoft.com/office/drawing/2014/main" id="{3398105E-1250-4F96-85CA-BA2FF87AC46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7" name="TextBox 1">
          <a:extLst>
            <a:ext uri="{FF2B5EF4-FFF2-40B4-BE49-F238E27FC236}">
              <a16:creationId xmlns:a16="http://schemas.microsoft.com/office/drawing/2014/main" id="{C5C1BD72-5B1D-452B-A10C-F5EF5485636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D72AE3D2-D7AC-4E30-8ACA-2B2C3006AF4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9" name="TextBox 1">
          <a:extLst>
            <a:ext uri="{FF2B5EF4-FFF2-40B4-BE49-F238E27FC236}">
              <a16:creationId xmlns:a16="http://schemas.microsoft.com/office/drawing/2014/main" id="{635BABA4-0BF8-4F12-8E0B-1F9F4CDE751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0" name="TextBox 1">
          <a:extLst>
            <a:ext uri="{FF2B5EF4-FFF2-40B4-BE49-F238E27FC236}">
              <a16:creationId xmlns:a16="http://schemas.microsoft.com/office/drawing/2014/main" id="{EE19FF32-9EBF-4392-887B-231FB6E10A5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C2B0C083-CEB3-4E89-8016-70012A26142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2" name="TextBox 1">
          <a:extLst>
            <a:ext uri="{FF2B5EF4-FFF2-40B4-BE49-F238E27FC236}">
              <a16:creationId xmlns:a16="http://schemas.microsoft.com/office/drawing/2014/main" id="{10D7B7F1-5467-4142-8098-04066923C06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199716F3-C821-4887-B62A-A62F9130DA5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4" name="TextBox 1">
          <a:extLst>
            <a:ext uri="{FF2B5EF4-FFF2-40B4-BE49-F238E27FC236}">
              <a16:creationId xmlns:a16="http://schemas.microsoft.com/office/drawing/2014/main" id="{86E8617A-E18B-45D7-AA8A-750117CA025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5" name="TextBox 1">
          <a:extLst>
            <a:ext uri="{FF2B5EF4-FFF2-40B4-BE49-F238E27FC236}">
              <a16:creationId xmlns:a16="http://schemas.microsoft.com/office/drawing/2014/main" id="{77D188A5-375B-4F6E-A8E0-FBFE78AAC7B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DC4E912E-5808-44CF-8211-90E76DA4E01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2510CEA4-9849-451D-8D35-81A0A4BBCAE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8" name="TextBox 1">
          <a:extLst>
            <a:ext uri="{FF2B5EF4-FFF2-40B4-BE49-F238E27FC236}">
              <a16:creationId xmlns:a16="http://schemas.microsoft.com/office/drawing/2014/main" id="{9AE76326-D816-4D41-AAF1-9CAB9EF1C7E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9" name="TextBox 1">
          <a:extLst>
            <a:ext uri="{FF2B5EF4-FFF2-40B4-BE49-F238E27FC236}">
              <a16:creationId xmlns:a16="http://schemas.microsoft.com/office/drawing/2014/main" id="{A7AB3D0D-7467-4F9F-9C83-5A4867C8F3D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FA536EB0-C226-4538-A7D7-4586DCBBB13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483B5EA1-DCB4-46AA-90DB-49960085441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0BB2519A-E638-4AD1-9656-CEA311B7AEA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3" name="TextBox 1">
          <a:extLst>
            <a:ext uri="{FF2B5EF4-FFF2-40B4-BE49-F238E27FC236}">
              <a16:creationId xmlns:a16="http://schemas.microsoft.com/office/drawing/2014/main" id="{6420698C-40D2-49D1-895E-956A81EEF7F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4" name="TextBox 1">
          <a:extLst>
            <a:ext uri="{FF2B5EF4-FFF2-40B4-BE49-F238E27FC236}">
              <a16:creationId xmlns:a16="http://schemas.microsoft.com/office/drawing/2014/main" id="{41460C0A-FE4F-4EE7-BEE2-DC48E49BE5D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ADB51DE4-4A69-480F-A83F-8FF002EC7E8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4BF5B7B0-EB8F-4F47-84A7-115BB36B6C3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7" name="TextBox 1">
          <a:extLst>
            <a:ext uri="{FF2B5EF4-FFF2-40B4-BE49-F238E27FC236}">
              <a16:creationId xmlns:a16="http://schemas.microsoft.com/office/drawing/2014/main" id="{651D85EA-311A-415E-9D3D-AFCC7651035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8" name="TextBox 1">
          <a:extLst>
            <a:ext uri="{FF2B5EF4-FFF2-40B4-BE49-F238E27FC236}">
              <a16:creationId xmlns:a16="http://schemas.microsoft.com/office/drawing/2014/main" id="{7F6A5770-E07A-4296-89D6-3A02B36A806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46ACB7FE-D12F-4633-9F94-5369B28C0AE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CBC68EDE-9153-4502-A650-170569FAE49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1" name="TextBox 1">
          <a:extLst>
            <a:ext uri="{FF2B5EF4-FFF2-40B4-BE49-F238E27FC236}">
              <a16:creationId xmlns:a16="http://schemas.microsoft.com/office/drawing/2014/main" id="{E8D73173-7447-48CD-BB5B-2A6C2F53010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2" name="TextBox 1">
          <a:extLst>
            <a:ext uri="{FF2B5EF4-FFF2-40B4-BE49-F238E27FC236}">
              <a16:creationId xmlns:a16="http://schemas.microsoft.com/office/drawing/2014/main" id="{DE00FB1C-BDBB-4D5E-B07E-F2EFC506181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C7AEAFEB-89DB-4EA0-A065-211D161C1D2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666E93D8-FA72-4ABE-8730-804DD42CEAD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5" name="TextBox 1">
          <a:extLst>
            <a:ext uri="{FF2B5EF4-FFF2-40B4-BE49-F238E27FC236}">
              <a16:creationId xmlns:a16="http://schemas.microsoft.com/office/drawing/2014/main" id="{5CFD17ED-326F-4214-96A2-08FD3BB62FA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6" name="TextBox 1">
          <a:extLst>
            <a:ext uri="{FF2B5EF4-FFF2-40B4-BE49-F238E27FC236}">
              <a16:creationId xmlns:a16="http://schemas.microsoft.com/office/drawing/2014/main" id="{678E01DE-B1FF-4E34-B146-5C51EED52CA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2E8991EE-5C1C-4501-A7A5-D8DD3739554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E1E9ECBC-FA8E-40CA-A7A8-705CC271BE6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9" name="TextBox 1">
          <a:extLst>
            <a:ext uri="{FF2B5EF4-FFF2-40B4-BE49-F238E27FC236}">
              <a16:creationId xmlns:a16="http://schemas.microsoft.com/office/drawing/2014/main" id="{CED12C42-99D6-48A5-8C48-5A412DDB12A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0" name="TextBox 1">
          <a:extLst>
            <a:ext uri="{FF2B5EF4-FFF2-40B4-BE49-F238E27FC236}">
              <a16:creationId xmlns:a16="http://schemas.microsoft.com/office/drawing/2014/main" id="{A68F4D87-AEF1-4E73-9D69-9308504BE54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FC64817D-E418-48E3-991E-54DA22D49A4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F2D5FC31-F9AB-42AC-AC25-2C263F14ABC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3" name="TextBox 1">
          <a:extLst>
            <a:ext uri="{FF2B5EF4-FFF2-40B4-BE49-F238E27FC236}">
              <a16:creationId xmlns:a16="http://schemas.microsoft.com/office/drawing/2014/main" id="{B9C82868-656D-4FC1-9171-751C2BB3926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4" name="TextBox 1">
          <a:extLst>
            <a:ext uri="{FF2B5EF4-FFF2-40B4-BE49-F238E27FC236}">
              <a16:creationId xmlns:a16="http://schemas.microsoft.com/office/drawing/2014/main" id="{D63513DB-8AA2-473E-A7A9-6CAE4FBBDD2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B8857D6E-6ABC-4A80-BD33-C00EF9FD861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EFE08245-B042-48E9-9A12-F7DFD492237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7" name="TextBox 1">
          <a:extLst>
            <a:ext uri="{FF2B5EF4-FFF2-40B4-BE49-F238E27FC236}">
              <a16:creationId xmlns:a16="http://schemas.microsoft.com/office/drawing/2014/main" id="{AE432669-3B0C-421A-926D-4727B63AEFB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8" name="TextBox 1">
          <a:extLst>
            <a:ext uri="{FF2B5EF4-FFF2-40B4-BE49-F238E27FC236}">
              <a16:creationId xmlns:a16="http://schemas.microsoft.com/office/drawing/2014/main" id="{265530A0-C382-42C0-9861-A02EFF19315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96CEFC37-71D7-49A7-B80E-2F62088E39E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C441840B-ABD1-4214-96DA-425643F9F7A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1" name="TextBox 1">
          <a:extLst>
            <a:ext uri="{FF2B5EF4-FFF2-40B4-BE49-F238E27FC236}">
              <a16:creationId xmlns:a16="http://schemas.microsoft.com/office/drawing/2014/main" id="{80AC71FB-2B75-4B43-8C19-5DE7A5E31B8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2" name="TextBox 1">
          <a:extLst>
            <a:ext uri="{FF2B5EF4-FFF2-40B4-BE49-F238E27FC236}">
              <a16:creationId xmlns:a16="http://schemas.microsoft.com/office/drawing/2014/main" id="{C9DACE4D-2DB3-4AD7-8C16-D49407BFCC5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B9BD9350-EB06-4864-B586-342E8F73B98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9B3CCC34-5E6A-4128-9AE8-23D718EC479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5" name="TextBox 1">
          <a:extLst>
            <a:ext uri="{FF2B5EF4-FFF2-40B4-BE49-F238E27FC236}">
              <a16:creationId xmlns:a16="http://schemas.microsoft.com/office/drawing/2014/main" id="{DB8BCF25-8B44-4A4D-8F25-97ED25BB423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6" name="TextBox 1">
          <a:extLst>
            <a:ext uri="{FF2B5EF4-FFF2-40B4-BE49-F238E27FC236}">
              <a16:creationId xmlns:a16="http://schemas.microsoft.com/office/drawing/2014/main" id="{5D39476A-543A-40C0-92E8-806FB08B4F7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7CF91381-DB44-4489-A907-151E773D7B3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8354C2AB-5C65-4BC9-BC46-098E6302CEA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72962A54-43BE-4A2F-A65F-4D3BD411256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0" name="TextBox 1">
          <a:extLst>
            <a:ext uri="{FF2B5EF4-FFF2-40B4-BE49-F238E27FC236}">
              <a16:creationId xmlns:a16="http://schemas.microsoft.com/office/drawing/2014/main" id="{3771277A-D0E0-4360-8F46-B95D96FBD7A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1" name="TextBox 1">
          <a:extLst>
            <a:ext uri="{FF2B5EF4-FFF2-40B4-BE49-F238E27FC236}">
              <a16:creationId xmlns:a16="http://schemas.microsoft.com/office/drawing/2014/main" id="{C738601C-14FA-406C-A488-238DF49C04E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CCABDF3D-7F4B-40F0-B299-5C61C6223E3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6061E927-BE32-4136-9DC0-64E4C72031B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4" name="TextBox 1">
          <a:extLst>
            <a:ext uri="{FF2B5EF4-FFF2-40B4-BE49-F238E27FC236}">
              <a16:creationId xmlns:a16="http://schemas.microsoft.com/office/drawing/2014/main" id="{44FB3D40-47B4-4987-91ED-9B7184B4A87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5" name="TextBox 1">
          <a:extLst>
            <a:ext uri="{FF2B5EF4-FFF2-40B4-BE49-F238E27FC236}">
              <a16:creationId xmlns:a16="http://schemas.microsoft.com/office/drawing/2014/main" id="{9D5B5F61-86C3-4D0C-B757-A15CC97C46E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B501DF66-41D6-4881-B338-12353932862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23656196-D43A-4C88-B712-82E289ECF6B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8" name="TextBox 1">
          <a:extLst>
            <a:ext uri="{FF2B5EF4-FFF2-40B4-BE49-F238E27FC236}">
              <a16:creationId xmlns:a16="http://schemas.microsoft.com/office/drawing/2014/main" id="{AF5F0527-D881-4E5A-9EF1-E367C6E892E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9" name="TextBox 1">
          <a:extLst>
            <a:ext uri="{FF2B5EF4-FFF2-40B4-BE49-F238E27FC236}">
              <a16:creationId xmlns:a16="http://schemas.microsoft.com/office/drawing/2014/main" id="{A1038FC8-37FE-4436-9568-CE13DBF0C73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0D06E3AC-0F13-4572-86C3-0240B11C849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B4953399-C0E5-41EC-A452-428B8AF0EE7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2" name="TextBox 1">
          <a:extLst>
            <a:ext uri="{FF2B5EF4-FFF2-40B4-BE49-F238E27FC236}">
              <a16:creationId xmlns:a16="http://schemas.microsoft.com/office/drawing/2014/main" id="{2C27A8C1-B959-495C-8C9E-7784A07BE9F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3" name="TextBox 1">
          <a:extLst>
            <a:ext uri="{FF2B5EF4-FFF2-40B4-BE49-F238E27FC236}">
              <a16:creationId xmlns:a16="http://schemas.microsoft.com/office/drawing/2014/main" id="{2784BBF6-3069-4DA0-BA3F-2D4E82EE775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7A0D9CA2-A68A-4BF1-A3F8-58842274A7E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D71D8C1A-3DE3-4454-9FFC-5D6912606A3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6" name="TextBox 1">
          <a:extLst>
            <a:ext uri="{FF2B5EF4-FFF2-40B4-BE49-F238E27FC236}">
              <a16:creationId xmlns:a16="http://schemas.microsoft.com/office/drawing/2014/main" id="{D418BE70-C2C8-4E71-AC96-D92E80C3E35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7" name="TextBox 1">
          <a:extLst>
            <a:ext uri="{FF2B5EF4-FFF2-40B4-BE49-F238E27FC236}">
              <a16:creationId xmlns:a16="http://schemas.microsoft.com/office/drawing/2014/main" id="{EAB8040A-6351-4101-A2E5-BC617F08C20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354A4767-3698-4080-9A2D-C0E7653FBF8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18DB5F8A-F009-4837-844B-ACF26B0CBEC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0" name="TextBox 1">
          <a:extLst>
            <a:ext uri="{FF2B5EF4-FFF2-40B4-BE49-F238E27FC236}">
              <a16:creationId xmlns:a16="http://schemas.microsoft.com/office/drawing/2014/main" id="{F704FAD3-59CF-4834-8388-959524CA466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1" name="TextBox 1">
          <a:extLst>
            <a:ext uri="{FF2B5EF4-FFF2-40B4-BE49-F238E27FC236}">
              <a16:creationId xmlns:a16="http://schemas.microsoft.com/office/drawing/2014/main" id="{0B9DA098-F2F8-48A7-A3D9-03A36975B93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4D9EAA6D-0C5B-4964-849A-4F9BE060654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B57B6237-F1CE-4201-BED1-8FEEE32855A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4" name="TextBox 1">
          <a:extLst>
            <a:ext uri="{FF2B5EF4-FFF2-40B4-BE49-F238E27FC236}">
              <a16:creationId xmlns:a16="http://schemas.microsoft.com/office/drawing/2014/main" id="{99C8C1D1-E626-4A6D-9ADE-5E124706899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5" name="TextBox 1">
          <a:extLst>
            <a:ext uri="{FF2B5EF4-FFF2-40B4-BE49-F238E27FC236}">
              <a16:creationId xmlns:a16="http://schemas.microsoft.com/office/drawing/2014/main" id="{48186C0A-F42B-40DB-96AD-4C84018BA46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82029D61-144E-474F-AEF7-4739DB9DB70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1CB5FB98-F3F4-43DB-989C-F17FE830EFF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8" name="TextBox 1">
          <a:extLst>
            <a:ext uri="{FF2B5EF4-FFF2-40B4-BE49-F238E27FC236}">
              <a16:creationId xmlns:a16="http://schemas.microsoft.com/office/drawing/2014/main" id="{A49FE1F9-E8DC-40E2-AA35-E9C41C7F5E1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9" name="TextBox 1">
          <a:extLst>
            <a:ext uri="{FF2B5EF4-FFF2-40B4-BE49-F238E27FC236}">
              <a16:creationId xmlns:a16="http://schemas.microsoft.com/office/drawing/2014/main" id="{608CABA4-F253-46A5-8CE2-D5512CF6751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25815372-3D0D-42C3-A73A-55A8CC538EC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B7E958CF-DF97-4AF2-AFCD-A90DE2982C6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2" name="TextBox 1">
          <a:extLst>
            <a:ext uri="{FF2B5EF4-FFF2-40B4-BE49-F238E27FC236}">
              <a16:creationId xmlns:a16="http://schemas.microsoft.com/office/drawing/2014/main" id="{5E16E0DB-B883-4C9E-937A-3B5D37FA847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3" name="TextBox 1">
          <a:extLst>
            <a:ext uri="{FF2B5EF4-FFF2-40B4-BE49-F238E27FC236}">
              <a16:creationId xmlns:a16="http://schemas.microsoft.com/office/drawing/2014/main" id="{943DFC6B-6505-4E27-8F45-1FB379F9D8B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6B0BE785-57F6-4AEC-8ACB-3C7673B54C9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A5559B7B-E056-442D-9459-70D5E2C342E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6" name="TextBox 1">
          <a:extLst>
            <a:ext uri="{FF2B5EF4-FFF2-40B4-BE49-F238E27FC236}">
              <a16:creationId xmlns:a16="http://schemas.microsoft.com/office/drawing/2014/main" id="{75D7C6DE-F3AA-4E8B-8DE1-D9AECA78EBA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7" name="TextBox 1">
          <a:extLst>
            <a:ext uri="{FF2B5EF4-FFF2-40B4-BE49-F238E27FC236}">
              <a16:creationId xmlns:a16="http://schemas.microsoft.com/office/drawing/2014/main" id="{FB93B6BF-20E6-46C4-9BDE-15FB6D0A9CD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B41CD2D2-8778-435D-964E-CFC6503BC3F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67E7C3AE-A14C-4EF3-B6FB-94276319E54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0" name="TextBox 1">
          <a:extLst>
            <a:ext uri="{FF2B5EF4-FFF2-40B4-BE49-F238E27FC236}">
              <a16:creationId xmlns:a16="http://schemas.microsoft.com/office/drawing/2014/main" id="{2C9AC002-F124-4985-8000-7AF5826E240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1" name="TextBox 1">
          <a:extLst>
            <a:ext uri="{FF2B5EF4-FFF2-40B4-BE49-F238E27FC236}">
              <a16:creationId xmlns:a16="http://schemas.microsoft.com/office/drawing/2014/main" id="{9F09F489-E42C-4F78-A2D7-ED7723C6ED6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9CDF7F53-CA48-4A8B-A3E1-3E90CBB8674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8E3F9932-1685-44A5-A623-AACD0E78648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ABF1F03D-8BA7-45DC-99FD-96007D726C4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5" name="TextBox 1">
          <a:extLst>
            <a:ext uri="{FF2B5EF4-FFF2-40B4-BE49-F238E27FC236}">
              <a16:creationId xmlns:a16="http://schemas.microsoft.com/office/drawing/2014/main" id="{1CEE9CEA-834A-40D1-9D9D-DA72C862DC1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6" name="TextBox 1">
          <a:extLst>
            <a:ext uri="{FF2B5EF4-FFF2-40B4-BE49-F238E27FC236}">
              <a16:creationId xmlns:a16="http://schemas.microsoft.com/office/drawing/2014/main" id="{6DD08599-7207-499D-8CC9-470D435F62C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543476E3-2FEF-41C2-A7EE-84B41AF4645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B57CF8F1-0481-43FE-8EBD-B502156125A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9" name="TextBox 1">
          <a:extLst>
            <a:ext uri="{FF2B5EF4-FFF2-40B4-BE49-F238E27FC236}">
              <a16:creationId xmlns:a16="http://schemas.microsoft.com/office/drawing/2014/main" id="{E0F5BB7D-94D5-483C-877D-E599D7B5E12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0" name="TextBox 1">
          <a:extLst>
            <a:ext uri="{FF2B5EF4-FFF2-40B4-BE49-F238E27FC236}">
              <a16:creationId xmlns:a16="http://schemas.microsoft.com/office/drawing/2014/main" id="{331B03A4-A9B3-4327-9B38-2316D6A7786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1465E2DF-2F67-42AA-A630-A474D324D05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E49E0FA6-5DBD-49D4-8E78-CCEECB98992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3" name="TextBox 1">
          <a:extLst>
            <a:ext uri="{FF2B5EF4-FFF2-40B4-BE49-F238E27FC236}">
              <a16:creationId xmlns:a16="http://schemas.microsoft.com/office/drawing/2014/main" id="{CB324E5E-E793-4183-8793-03BDB89C255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4" name="TextBox 1">
          <a:extLst>
            <a:ext uri="{FF2B5EF4-FFF2-40B4-BE49-F238E27FC236}">
              <a16:creationId xmlns:a16="http://schemas.microsoft.com/office/drawing/2014/main" id="{044F4F7B-D832-417E-931D-8E1888DDA8C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251FA662-B6F1-4662-9C2C-18C29D86072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DCC06C7C-1963-4FDF-9A6B-CC1DAC07665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7" name="TextBox 1">
          <a:extLst>
            <a:ext uri="{FF2B5EF4-FFF2-40B4-BE49-F238E27FC236}">
              <a16:creationId xmlns:a16="http://schemas.microsoft.com/office/drawing/2014/main" id="{080E805F-4EA6-4BFC-986C-4006902F3F3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8" name="TextBox 1">
          <a:extLst>
            <a:ext uri="{FF2B5EF4-FFF2-40B4-BE49-F238E27FC236}">
              <a16:creationId xmlns:a16="http://schemas.microsoft.com/office/drawing/2014/main" id="{E63DB86A-F67D-46DF-B3A2-4B79B05B3FA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E4C24584-21A3-4DF8-AC00-416A57D4F59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FE5C2FD7-E703-415D-A312-9047D067E3A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1" name="TextBox 1">
          <a:extLst>
            <a:ext uri="{FF2B5EF4-FFF2-40B4-BE49-F238E27FC236}">
              <a16:creationId xmlns:a16="http://schemas.microsoft.com/office/drawing/2014/main" id="{A1E76CBC-4F57-4DFE-8775-7D7048DB24A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2" name="TextBox 1">
          <a:extLst>
            <a:ext uri="{FF2B5EF4-FFF2-40B4-BE49-F238E27FC236}">
              <a16:creationId xmlns:a16="http://schemas.microsoft.com/office/drawing/2014/main" id="{FE563D3C-B69D-43C5-A5DE-481715E8E90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EA629443-47DC-4DFE-B0DA-7D38F53D94B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6B2D0B47-8DC9-4428-9454-C21FACF4686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5" name="TextBox 1">
          <a:extLst>
            <a:ext uri="{FF2B5EF4-FFF2-40B4-BE49-F238E27FC236}">
              <a16:creationId xmlns:a16="http://schemas.microsoft.com/office/drawing/2014/main" id="{F4B984B2-490A-431E-9A40-802CDCEF5CC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6" name="TextBox 1">
          <a:extLst>
            <a:ext uri="{FF2B5EF4-FFF2-40B4-BE49-F238E27FC236}">
              <a16:creationId xmlns:a16="http://schemas.microsoft.com/office/drawing/2014/main" id="{814AF6CC-E6B4-4E24-89CA-6C384FF77EE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F9951D5-6200-4BBD-A105-AD4A27D83E2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232AC70B-F60D-423B-9120-747CD813FDD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9" name="TextBox 1">
          <a:extLst>
            <a:ext uri="{FF2B5EF4-FFF2-40B4-BE49-F238E27FC236}">
              <a16:creationId xmlns:a16="http://schemas.microsoft.com/office/drawing/2014/main" id="{807F2F9B-F0DD-41AA-A67A-227A4B35489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0" name="TextBox 1">
          <a:extLst>
            <a:ext uri="{FF2B5EF4-FFF2-40B4-BE49-F238E27FC236}">
              <a16:creationId xmlns:a16="http://schemas.microsoft.com/office/drawing/2014/main" id="{9479B497-A2DD-4140-AF36-652F78F9F8B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BDB6D2F1-9DA2-4A3F-8A45-D0ED1A21EE9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9510B0A8-B4A2-48AD-8704-0B27080A87D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3" name="TextBox 1">
          <a:extLst>
            <a:ext uri="{FF2B5EF4-FFF2-40B4-BE49-F238E27FC236}">
              <a16:creationId xmlns:a16="http://schemas.microsoft.com/office/drawing/2014/main" id="{4E1FB4A6-521D-4917-A0E3-E21B43E98EA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4" name="TextBox 1">
          <a:extLst>
            <a:ext uri="{FF2B5EF4-FFF2-40B4-BE49-F238E27FC236}">
              <a16:creationId xmlns:a16="http://schemas.microsoft.com/office/drawing/2014/main" id="{4990F2D6-D107-40CD-BD29-8FF15AE0931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48F5CD3B-4BAF-432F-9A60-CC142E0199D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38940253-8C56-4B50-909B-74B1CC7501F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7" name="TextBox 1">
          <a:extLst>
            <a:ext uri="{FF2B5EF4-FFF2-40B4-BE49-F238E27FC236}">
              <a16:creationId xmlns:a16="http://schemas.microsoft.com/office/drawing/2014/main" id="{D10BD99E-8C3F-4B7B-87FB-9C6B699EF20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8" name="TextBox 1">
          <a:extLst>
            <a:ext uri="{FF2B5EF4-FFF2-40B4-BE49-F238E27FC236}">
              <a16:creationId xmlns:a16="http://schemas.microsoft.com/office/drawing/2014/main" id="{E91460A2-36D7-4421-BC73-9039BFEF3C6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BD6B10F9-E89E-445C-8B6D-96E6836817C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0" name="TextBox 1">
          <a:extLst>
            <a:ext uri="{FF2B5EF4-FFF2-40B4-BE49-F238E27FC236}">
              <a16:creationId xmlns:a16="http://schemas.microsoft.com/office/drawing/2014/main" id="{531C46AA-1BDC-428D-B3B0-2AA85D3B827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1" name="TextBox 1">
          <a:extLst>
            <a:ext uri="{FF2B5EF4-FFF2-40B4-BE49-F238E27FC236}">
              <a16:creationId xmlns:a16="http://schemas.microsoft.com/office/drawing/2014/main" id="{147D7897-5335-4EE5-BFCE-9A3E445D782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E844431C-1B43-488E-9CD8-275390D72A9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3" name="TextBox 1">
          <a:extLst>
            <a:ext uri="{FF2B5EF4-FFF2-40B4-BE49-F238E27FC236}">
              <a16:creationId xmlns:a16="http://schemas.microsoft.com/office/drawing/2014/main" id="{88266FE3-D970-4FDB-B450-8BD069C0F30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4B4A3ED3-126D-44D8-8907-BA034276B98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5" name="TextBox 1">
          <a:extLst>
            <a:ext uri="{FF2B5EF4-FFF2-40B4-BE49-F238E27FC236}">
              <a16:creationId xmlns:a16="http://schemas.microsoft.com/office/drawing/2014/main" id="{5BF56D52-3144-41CE-8DFD-8EA350121E1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6" name="TextBox 1">
          <a:extLst>
            <a:ext uri="{FF2B5EF4-FFF2-40B4-BE49-F238E27FC236}">
              <a16:creationId xmlns:a16="http://schemas.microsoft.com/office/drawing/2014/main" id="{B8E22291-3196-4210-BFC7-FEED04FD3B3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BFA59E67-8B46-40F8-A688-C7C74C1AA09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23EF894B-0743-40F5-AE48-45DA2716355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9" name="TextBox 1">
          <a:extLst>
            <a:ext uri="{FF2B5EF4-FFF2-40B4-BE49-F238E27FC236}">
              <a16:creationId xmlns:a16="http://schemas.microsoft.com/office/drawing/2014/main" id="{C4306810-8966-47C6-939B-2F746651DD3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0" name="TextBox 1">
          <a:extLst>
            <a:ext uri="{FF2B5EF4-FFF2-40B4-BE49-F238E27FC236}">
              <a16:creationId xmlns:a16="http://schemas.microsoft.com/office/drawing/2014/main" id="{E02034B2-6F0B-4B6B-AF0D-F304E254FFB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E3A0D85B-72E5-4AB0-8BFA-818C84C74D9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341665F6-9D50-4023-B003-9E1F97DB0B2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7A34B1D2-1B5C-4D7A-8CA1-BFF5280FE5C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4" name="TextBox 1">
          <a:extLst>
            <a:ext uri="{FF2B5EF4-FFF2-40B4-BE49-F238E27FC236}">
              <a16:creationId xmlns:a16="http://schemas.microsoft.com/office/drawing/2014/main" id="{8AB896A9-8C5D-46A9-854D-C802AA7F3A8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5" name="TextBox 1">
          <a:extLst>
            <a:ext uri="{FF2B5EF4-FFF2-40B4-BE49-F238E27FC236}">
              <a16:creationId xmlns:a16="http://schemas.microsoft.com/office/drawing/2014/main" id="{F3B9421A-D66B-488F-A13C-FECE0613D53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E8EE1584-571B-498A-A0BE-62632502F8E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E3090191-D8BB-4870-B869-FE691E2B56A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8" name="TextBox 1">
          <a:extLst>
            <a:ext uri="{FF2B5EF4-FFF2-40B4-BE49-F238E27FC236}">
              <a16:creationId xmlns:a16="http://schemas.microsoft.com/office/drawing/2014/main" id="{9867F5EB-ED7A-4370-8F44-CD7914BA238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9" name="TextBox 1">
          <a:extLst>
            <a:ext uri="{FF2B5EF4-FFF2-40B4-BE49-F238E27FC236}">
              <a16:creationId xmlns:a16="http://schemas.microsoft.com/office/drawing/2014/main" id="{8664BEE5-6C60-4D6C-A3DC-B9867C413B1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659870B0-F282-4225-A72A-EC3821F43E0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E4C12045-6AF9-4F9A-815B-F30AC118A40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2" name="TextBox 1">
          <a:extLst>
            <a:ext uri="{FF2B5EF4-FFF2-40B4-BE49-F238E27FC236}">
              <a16:creationId xmlns:a16="http://schemas.microsoft.com/office/drawing/2014/main" id="{1E21B758-209B-46E9-9A06-B4357D800EF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3" name="TextBox 1">
          <a:extLst>
            <a:ext uri="{FF2B5EF4-FFF2-40B4-BE49-F238E27FC236}">
              <a16:creationId xmlns:a16="http://schemas.microsoft.com/office/drawing/2014/main" id="{9D67EE08-055A-4111-8A6A-C4267181914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5583B3D8-A867-45A6-8408-D93D6617B6F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250611F0-ED6F-48CD-A1D3-D8C6630D090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6" name="TextBox 1">
          <a:extLst>
            <a:ext uri="{FF2B5EF4-FFF2-40B4-BE49-F238E27FC236}">
              <a16:creationId xmlns:a16="http://schemas.microsoft.com/office/drawing/2014/main" id="{13E945C9-2374-4228-97B6-BE9783F6DC6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7" name="TextBox 1">
          <a:extLst>
            <a:ext uri="{FF2B5EF4-FFF2-40B4-BE49-F238E27FC236}">
              <a16:creationId xmlns:a16="http://schemas.microsoft.com/office/drawing/2014/main" id="{39DFF2D8-F3B0-42AC-8B78-F7FB63CD72A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CD34A75C-F481-4736-9E28-D17867B3DAE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A0760E90-356A-43C1-A2EE-065642C8D8B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0" name="TextBox 1">
          <a:extLst>
            <a:ext uri="{FF2B5EF4-FFF2-40B4-BE49-F238E27FC236}">
              <a16:creationId xmlns:a16="http://schemas.microsoft.com/office/drawing/2014/main" id="{76405251-1AC9-49EC-A743-F32E4012B86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1" name="TextBox 1">
          <a:extLst>
            <a:ext uri="{FF2B5EF4-FFF2-40B4-BE49-F238E27FC236}">
              <a16:creationId xmlns:a16="http://schemas.microsoft.com/office/drawing/2014/main" id="{13564062-270C-4BEE-B4DF-FF97F5C6AF8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05D4CB1D-B21B-4698-BA44-C863F80A76A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CE0A8F40-4050-4403-B66C-0456AA48418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4" name="TextBox 1">
          <a:extLst>
            <a:ext uri="{FF2B5EF4-FFF2-40B4-BE49-F238E27FC236}">
              <a16:creationId xmlns:a16="http://schemas.microsoft.com/office/drawing/2014/main" id="{608F5B67-5AEC-476A-A9A3-2060A5CE71A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5" name="TextBox 1">
          <a:extLst>
            <a:ext uri="{FF2B5EF4-FFF2-40B4-BE49-F238E27FC236}">
              <a16:creationId xmlns:a16="http://schemas.microsoft.com/office/drawing/2014/main" id="{A5787052-A596-4507-B16E-995C10BF92A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A8C527E6-2DA3-42F5-8219-9AD83967520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4C8E43CF-4B90-4906-A101-30FC9A6FD52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8" name="TextBox 1">
          <a:extLst>
            <a:ext uri="{FF2B5EF4-FFF2-40B4-BE49-F238E27FC236}">
              <a16:creationId xmlns:a16="http://schemas.microsoft.com/office/drawing/2014/main" id="{297CD391-FC7C-42C9-921B-3051B554877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9" name="TextBox 1">
          <a:extLst>
            <a:ext uri="{FF2B5EF4-FFF2-40B4-BE49-F238E27FC236}">
              <a16:creationId xmlns:a16="http://schemas.microsoft.com/office/drawing/2014/main" id="{A75FA881-5726-46A7-B212-F071F8DDCCB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9730F406-E488-4AFE-9914-2E2DFB84BEB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F5C1D208-F58F-460C-A21A-77D645DFFD8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2" name="TextBox 1">
          <a:extLst>
            <a:ext uri="{FF2B5EF4-FFF2-40B4-BE49-F238E27FC236}">
              <a16:creationId xmlns:a16="http://schemas.microsoft.com/office/drawing/2014/main" id="{C427CF5D-C5C6-4F99-8737-12806A966CF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3" name="TextBox 1">
          <a:extLst>
            <a:ext uri="{FF2B5EF4-FFF2-40B4-BE49-F238E27FC236}">
              <a16:creationId xmlns:a16="http://schemas.microsoft.com/office/drawing/2014/main" id="{B1CBFF40-2308-47D0-868B-99DBBFB4A7F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A2ABB2AF-65B7-43D0-973E-79B46BA3260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BC061D66-3C57-4BCD-9B6A-2484BFE1B38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6" name="TextBox 1">
          <a:extLst>
            <a:ext uri="{FF2B5EF4-FFF2-40B4-BE49-F238E27FC236}">
              <a16:creationId xmlns:a16="http://schemas.microsoft.com/office/drawing/2014/main" id="{CF297336-DFAB-4769-A646-450B5C68F82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7" name="TextBox 1">
          <a:extLst>
            <a:ext uri="{FF2B5EF4-FFF2-40B4-BE49-F238E27FC236}">
              <a16:creationId xmlns:a16="http://schemas.microsoft.com/office/drawing/2014/main" id="{B7933C90-31E8-4678-9A25-6871D1437F6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69FDA6DA-90A9-4E72-926C-8F02DF052DC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CBD02835-AE31-4A25-AFD9-E70645F54CB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694DBDDC-80DC-4911-8EEC-A7D6D5DD51C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1" name="TextBox 1">
          <a:extLst>
            <a:ext uri="{FF2B5EF4-FFF2-40B4-BE49-F238E27FC236}">
              <a16:creationId xmlns:a16="http://schemas.microsoft.com/office/drawing/2014/main" id="{AEF33654-CEDF-4C1F-A16D-81DEE6062C4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2" name="TextBox 1">
          <a:extLst>
            <a:ext uri="{FF2B5EF4-FFF2-40B4-BE49-F238E27FC236}">
              <a16:creationId xmlns:a16="http://schemas.microsoft.com/office/drawing/2014/main" id="{551F8A85-C5DB-44DD-BF01-C834364FC3C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73F47B5B-FA94-4A33-B2F2-B248976DF31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5A1CE8C5-87DB-497A-A354-207BDEE9950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5" name="TextBox 1">
          <a:extLst>
            <a:ext uri="{FF2B5EF4-FFF2-40B4-BE49-F238E27FC236}">
              <a16:creationId xmlns:a16="http://schemas.microsoft.com/office/drawing/2014/main" id="{A279F947-0CF8-4996-8EF6-67E501EF905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6" name="TextBox 1">
          <a:extLst>
            <a:ext uri="{FF2B5EF4-FFF2-40B4-BE49-F238E27FC236}">
              <a16:creationId xmlns:a16="http://schemas.microsoft.com/office/drawing/2014/main" id="{113F4F72-1412-4111-9155-E510A0603EA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BDD60A9F-E13E-46F0-8805-0BD145CD574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5CC34233-5365-4FEB-AA7A-349BDE73C18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9" name="TextBox 1">
          <a:extLst>
            <a:ext uri="{FF2B5EF4-FFF2-40B4-BE49-F238E27FC236}">
              <a16:creationId xmlns:a16="http://schemas.microsoft.com/office/drawing/2014/main" id="{4BAD2486-88DA-412C-A033-B84A3374600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0" name="TextBox 1">
          <a:extLst>
            <a:ext uri="{FF2B5EF4-FFF2-40B4-BE49-F238E27FC236}">
              <a16:creationId xmlns:a16="http://schemas.microsoft.com/office/drawing/2014/main" id="{36314A28-A8E9-4AC5-A293-758CC3F2EF2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125BEF42-5D42-46A7-AF33-41951818D3B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23CEB0CB-118A-480A-A82C-F16A4264363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3" name="TextBox 1">
          <a:extLst>
            <a:ext uri="{FF2B5EF4-FFF2-40B4-BE49-F238E27FC236}">
              <a16:creationId xmlns:a16="http://schemas.microsoft.com/office/drawing/2014/main" id="{E57D9423-BFF2-4C69-8D23-6793BB63C41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4" name="TextBox 1">
          <a:extLst>
            <a:ext uri="{FF2B5EF4-FFF2-40B4-BE49-F238E27FC236}">
              <a16:creationId xmlns:a16="http://schemas.microsoft.com/office/drawing/2014/main" id="{63FAD1A6-C2BB-4B11-9FB7-1019980086C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F36EBED8-D722-4398-B1DB-647EEBBA282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7ACE37E7-7966-4FAE-9878-9B8607F6B7B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7" name="TextBox 1">
          <a:extLst>
            <a:ext uri="{FF2B5EF4-FFF2-40B4-BE49-F238E27FC236}">
              <a16:creationId xmlns:a16="http://schemas.microsoft.com/office/drawing/2014/main" id="{4AF1A761-8193-4AE4-A360-FFA876EC535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8" name="TextBox 1">
          <a:extLst>
            <a:ext uri="{FF2B5EF4-FFF2-40B4-BE49-F238E27FC236}">
              <a16:creationId xmlns:a16="http://schemas.microsoft.com/office/drawing/2014/main" id="{8FB1AAEA-1F9C-443C-86C8-74403076628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FC38AE3C-2647-489A-A53A-68C7844AC68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C2B13D28-BF0E-4DEE-BD59-7B8A0829678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1" name="TextBox 1">
          <a:extLst>
            <a:ext uri="{FF2B5EF4-FFF2-40B4-BE49-F238E27FC236}">
              <a16:creationId xmlns:a16="http://schemas.microsoft.com/office/drawing/2014/main" id="{B3993F69-B2BA-485B-8F4A-D5E18050EF7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2" name="TextBox 1">
          <a:extLst>
            <a:ext uri="{FF2B5EF4-FFF2-40B4-BE49-F238E27FC236}">
              <a16:creationId xmlns:a16="http://schemas.microsoft.com/office/drawing/2014/main" id="{C6023E6C-1236-4841-96EC-DC8CE158D3F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FBF672D9-36DF-4AD9-9F56-E53612F964B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B6655396-9592-4083-9A8E-B20B2F39148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5" name="TextBox 1">
          <a:extLst>
            <a:ext uri="{FF2B5EF4-FFF2-40B4-BE49-F238E27FC236}">
              <a16:creationId xmlns:a16="http://schemas.microsoft.com/office/drawing/2014/main" id="{BE351702-5DC0-4BEF-9EB3-5FB96EEFA4E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6" name="TextBox 1">
          <a:extLst>
            <a:ext uri="{FF2B5EF4-FFF2-40B4-BE49-F238E27FC236}">
              <a16:creationId xmlns:a16="http://schemas.microsoft.com/office/drawing/2014/main" id="{1525F4B2-7109-4C30-9657-48602A224B0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9BA8227B-F3E0-4B8A-AB82-A5A1716D7C0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5481B24C-D90A-4BDE-AAE3-54BFB6B475B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9" name="TextBox 1">
          <a:extLst>
            <a:ext uri="{FF2B5EF4-FFF2-40B4-BE49-F238E27FC236}">
              <a16:creationId xmlns:a16="http://schemas.microsoft.com/office/drawing/2014/main" id="{AD2F96E5-43F3-40CF-95C0-AC79E268242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0" name="TextBox 1">
          <a:extLst>
            <a:ext uri="{FF2B5EF4-FFF2-40B4-BE49-F238E27FC236}">
              <a16:creationId xmlns:a16="http://schemas.microsoft.com/office/drawing/2014/main" id="{19A08A16-5C14-411A-BD01-BC78DE274C0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3D0BE183-5668-46DA-A951-F73146044E0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7608D9E3-3B7F-4AE3-8A78-1742988D4BE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3" name="TextBox 1">
          <a:extLst>
            <a:ext uri="{FF2B5EF4-FFF2-40B4-BE49-F238E27FC236}">
              <a16:creationId xmlns:a16="http://schemas.microsoft.com/office/drawing/2014/main" id="{0B6ACD9F-AC31-4D5B-BE1B-49DAE522246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4" name="TextBox 1">
          <a:extLst>
            <a:ext uri="{FF2B5EF4-FFF2-40B4-BE49-F238E27FC236}">
              <a16:creationId xmlns:a16="http://schemas.microsoft.com/office/drawing/2014/main" id="{825AD9D8-22D0-4370-A271-6E5007DDDEB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7719646D-9078-4B80-BF58-93066A554BD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4D9BE1EE-3DE6-46C2-984C-CD33DFC5F13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7" name="TextBox 1">
          <a:extLst>
            <a:ext uri="{FF2B5EF4-FFF2-40B4-BE49-F238E27FC236}">
              <a16:creationId xmlns:a16="http://schemas.microsoft.com/office/drawing/2014/main" id="{78402E57-117A-4E41-8569-1D49A2F62B3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8" name="TextBox 1">
          <a:extLst>
            <a:ext uri="{FF2B5EF4-FFF2-40B4-BE49-F238E27FC236}">
              <a16:creationId xmlns:a16="http://schemas.microsoft.com/office/drawing/2014/main" id="{D1C265B7-14B6-4DA5-BFB1-1DAB485C8EE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14010824-0A5E-4C71-97DB-339FDF0D455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4309F597-C29B-46EB-8CFF-088967E6DE5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1" name="TextBox 1">
          <a:extLst>
            <a:ext uri="{FF2B5EF4-FFF2-40B4-BE49-F238E27FC236}">
              <a16:creationId xmlns:a16="http://schemas.microsoft.com/office/drawing/2014/main" id="{BED4E573-E121-44F4-9DC2-FEEA955F54D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2" name="TextBox 1">
          <a:extLst>
            <a:ext uri="{FF2B5EF4-FFF2-40B4-BE49-F238E27FC236}">
              <a16:creationId xmlns:a16="http://schemas.microsoft.com/office/drawing/2014/main" id="{B97833D4-0D8B-44C8-8FB6-F576064EC85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23D5C2AD-BD3A-489D-9927-CCDC25D58A4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AA36633F-F35C-432E-B577-C14EB42DF96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6E662757-E44D-4DA7-A7BA-AF52E77449F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6" name="TextBox 1">
          <a:extLst>
            <a:ext uri="{FF2B5EF4-FFF2-40B4-BE49-F238E27FC236}">
              <a16:creationId xmlns:a16="http://schemas.microsoft.com/office/drawing/2014/main" id="{E6BD6DA0-BACD-4B2A-80FA-CBC99E2716B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7" name="TextBox 1">
          <a:extLst>
            <a:ext uri="{FF2B5EF4-FFF2-40B4-BE49-F238E27FC236}">
              <a16:creationId xmlns:a16="http://schemas.microsoft.com/office/drawing/2014/main" id="{685EAF87-3C15-43BC-BE9E-3A23D3E301B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188D4E18-429D-4260-80C4-5129CDBF14F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D1A1A56B-EB71-47DD-A8BF-A526FF4E0F9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0" name="TextBox 1">
          <a:extLst>
            <a:ext uri="{FF2B5EF4-FFF2-40B4-BE49-F238E27FC236}">
              <a16:creationId xmlns:a16="http://schemas.microsoft.com/office/drawing/2014/main" id="{8A70EC73-0C31-47D5-ADF6-888766FF260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1" name="TextBox 1">
          <a:extLst>
            <a:ext uri="{FF2B5EF4-FFF2-40B4-BE49-F238E27FC236}">
              <a16:creationId xmlns:a16="http://schemas.microsoft.com/office/drawing/2014/main" id="{30A3DB29-C4B7-4121-96C1-5A4271530AD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335B6661-F1A6-47B5-98EE-AA36D62FAA4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B504D75C-27FC-4998-BBF4-2B2B657CE0F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4" name="TextBox 1">
          <a:extLst>
            <a:ext uri="{FF2B5EF4-FFF2-40B4-BE49-F238E27FC236}">
              <a16:creationId xmlns:a16="http://schemas.microsoft.com/office/drawing/2014/main" id="{FEFB6F80-F4D2-445A-8C08-B1C174848B3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5" name="TextBox 1">
          <a:extLst>
            <a:ext uri="{FF2B5EF4-FFF2-40B4-BE49-F238E27FC236}">
              <a16:creationId xmlns:a16="http://schemas.microsoft.com/office/drawing/2014/main" id="{6E561F88-7CEF-4C4E-AF51-D2AE854194D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09089BA0-3229-48BE-8C80-C518545D7EA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B3D3D629-D53A-4509-849F-3277C8D7CA1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8" name="TextBox 1">
          <a:extLst>
            <a:ext uri="{FF2B5EF4-FFF2-40B4-BE49-F238E27FC236}">
              <a16:creationId xmlns:a16="http://schemas.microsoft.com/office/drawing/2014/main" id="{87EA43E3-1C78-49F5-9E79-D6A6137E7EB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9" name="TextBox 1">
          <a:extLst>
            <a:ext uri="{FF2B5EF4-FFF2-40B4-BE49-F238E27FC236}">
              <a16:creationId xmlns:a16="http://schemas.microsoft.com/office/drawing/2014/main" id="{9989952F-1643-42B5-AAF6-DAC22CDFA19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0C01FE68-9038-4986-A0B0-7B92FD20A63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2BE745ED-B81D-43C5-B003-7F82ADC2A52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2" name="TextBox 1">
          <a:extLst>
            <a:ext uri="{FF2B5EF4-FFF2-40B4-BE49-F238E27FC236}">
              <a16:creationId xmlns:a16="http://schemas.microsoft.com/office/drawing/2014/main" id="{776C01D7-F55C-4C10-94D2-01AABDF95C9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3" name="TextBox 1">
          <a:extLst>
            <a:ext uri="{FF2B5EF4-FFF2-40B4-BE49-F238E27FC236}">
              <a16:creationId xmlns:a16="http://schemas.microsoft.com/office/drawing/2014/main" id="{6938D0F8-F454-4DEF-9A06-4178E2B7A6E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EA2776E0-5DC6-47C9-9244-097CF0E9EBC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71CB818D-93C5-4487-9C82-F4ED0F44234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6" name="TextBox 1">
          <a:extLst>
            <a:ext uri="{FF2B5EF4-FFF2-40B4-BE49-F238E27FC236}">
              <a16:creationId xmlns:a16="http://schemas.microsoft.com/office/drawing/2014/main" id="{B75FD369-3FDC-46E2-A9E4-BE4C9E797C9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7" name="TextBox 1">
          <a:extLst>
            <a:ext uri="{FF2B5EF4-FFF2-40B4-BE49-F238E27FC236}">
              <a16:creationId xmlns:a16="http://schemas.microsoft.com/office/drawing/2014/main" id="{EB107907-91BE-415F-85ED-05031227F31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9C15E800-52D8-44D1-B460-D442C5B9109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1AF93C85-ABFE-4E6C-B6C1-DA807BDFDC6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0" name="TextBox 1">
          <a:extLst>
            <a:ext uri="{FF2B5EF4-FFF2-40B4-BE49-F238E27FC236}">
              <a16:creationId xmlns:a16="http://schemas.microsoft.com/office/drawing/2014/main" id="{1586BBB4-5DFB-495B-8C67-4BF67F51A8F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1" name="TextBox 1">
          <a:extLst>
            <a:ext uri="{FF2B5EF4-FFF2-40B4-BE49-F238E27FC236}">
              <a16:creationId xmlns:a16="http://schemas.microsoft.com/office/drawing/2014/main" id="{737048F1-AB21-4E31-90A1-9553BAB259E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EE8F67B4-3B80-484C-8339-7513DAB826F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A89A4D03-99FD-4564-993A-BB5FE66DB5D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4" name="TextBox 1">
          <a:extLst>
            <a:ext uri="{FF2B5EF4-FFF2-40B4-BE49-F238E27FC236}">
              <a16:creationId xmlns:a16="http://schemas.microsoft.com/office/drawing/2014/main" id="{26C3B206-78DA-4AE1-9602-9DBDB439E41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5" name="TextBox 1">
          <a:extLst>
            <a:ext uri="{FF2B5EF4-FFF2-40B4-BE49-F238E27FC236}">
              <a16:creationId xmlns:a16="http://schemas.microsoft.com/office/drawing/2014/main" id="{E4DE45C0-09DC-4BEA-AF6F-DA7D3679494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9A55087F-ADA2-424D-B0AB-2676039BC54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5746D24D-EBC3-4CCB-A0C4-17C662C1418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8" name="TextBox 1">
          <a:extLst>
            <a:ext uri="{FF2B5EF4-FFF2-40B4-BE49-F238E27FC236}">
              <a16:creationId xmlns:a16="http://schemas.microsoft.com/office/drawing/2014/main" id="{10E6D940-24F1-4E40-AF42-C0E31B7F8DA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9" name="TextBox 1">
          <a:extLst>
            <a:ext uri="{FF2B5EF4-FFF2-40B4-BE49-F238E27FC236}">
              <a16:creationId xmlns:a16="http://schemas.microsoft.com/office/drawing/2014/main" id="{9B2459C8-3D38-4E47-B940-F8AF4F08F83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48D9882D-9BD5-4043-90F4-3E718B8C9B2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1" name="TextBox 1">
          <a:extLst>
            <a:ext uri="{FF2B5EF4-FFF2-40B4-BE49-F238E27FC236}">
              <a16:creationId xmlns:a16="http://schemas.microsoft.com/office/drawing/2014/main" id="{5F4CEDED-63B3-4F11-8A1B-428146C3E3F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2" name="TextBox 1">
          <a:extLst>
            <a:ext uri="{FF2B5EF4-FFF2-40B4-BE49-F238E27FC236}">
              <a16:creationId xmlns:a16="http://schemas.microsoft.com/office/drawing/2014/main" id="{34ECFCF2-88E8-4F70-A176-EC0B52C9862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9FC33B4C-BF75-49BE-8F1D-D937013E896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4" name="TextBox 1">
          <a:extLst>
            <a:ext uri="{FF2B5EF4-FFF2-40B4-BE49-F238E27FC236}">
              <a16:creationId xmlns:a16="http://schemas.microsoft.com/office/drawing/2014/main" id="{CFB59E9F-A585-4E79-9B48-BA2D7E58380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29C8E677-F0E5-4B98-9BB0-1A03C4C2E03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6" name="TextBox 1">
          <a:extLst>
            <a:ext uri="{FF2B5EF4-FFF2-40B4-BE49-F238E27FC236}">
              <a16:creationId xmlns:a16="http://schemas.microsoft.com/office/drawing/2014/main" id="{FDC58248-DED6-49B3-B5E5-FECA2C3E1C8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7" name="TextBox 1">
          <a:extLst>
            <a:ext uri="{FF2B5EF4-FFF2-40B4-BE49-F238E27FC236}">
              <a16:creationId xmlns:a16="http://schemas.microsoft.com/office/drawing/2014/main" id="{81E21FA4-A753-4ABD-94B9-33ABA2B9191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52BC3CC3-02B8-48DB-8BDB-FE59FDBC307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B3EF9430-C067-4A67-82E5-606F626DDB7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0" name="TextBox 1">
          <a:extLst>
            <a:ext uri="{FF2B5EF4-FFF2-40B4-BE49-F238E27FC236}">
              <a16:creationId xmlns:a16="http://schemas.microsoft.com/office/drawing/2014/main" id="{424FE2B6-5577-4CF3-940D-84C7FB28013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1" name="TextBox 1">
          <a:extLst>
            <a:ext uri="{FF2B5EF4-FFF2-40B4-BE49-F238E27FC236}">
              <a16:creationId xmlns:a16="http://schemas.microsoft.com/office/drawing/2014/main" id="{15E4DC15-80FC-4F0C-ACB5-5DCC4D7DEF3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296E19D6-9D86-41D6-AE47-C5E6BD16FA2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EA011ED4-8EA3-4FCB-B600-005687289B4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5B9E3E10-2B0C-437B-B8A0-1C5572D4C3F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5" name="TextBox 1">
          <a:extLst>
            <a:ext uri="{FF2B5EF4-FFF2-40B4-BE49-F238E27FC236}">
              <a16:creationId xmlns:a16="http://schemas.microsoft.com/office/drawing/2014/main" id="{95F90FD2-D1D2-4B11-AFDC-88F1966DEF6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6" name="TextBox 1">
          <a:extLst>
            <a:ext uri="{FF2B5EF4-FFF2-40B4-BE49-F238E27FC236}">
              <a16:creationId xmlns:a16="http://schemas.microsoft.com/office/drawing/2014/main" id="{3598765C-3018-41FF-9CAE-8412ADD4FDB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42D62E3D-3222-4B4F-9186-633EDCA1848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3EB2DF1F-DD50-445A-9F07-48D3C184B8C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9" name="TextBox 1">
          <a:extLst>
            <a:ext uri="{FF2B5EF4-FFF2-40B4-BE49-F238E27FC236}">
              <a16:creationId xmlns:a16="http://schemas.microsoft.com/office/drawing/2014/main" id="{DC8B35B8-99A9-423B-810E-DAB45A9D61F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0" name="TextBox 1">
          <a:extLst>
            <a:ext uri="{FF2B5EF4-FFF2-40B4-BE49-F238E27FC236}">
              <a16:creationId xmlns:a16="http://schemas.microsoft.com/office/drawing/2014/main" id="{251DE81C-1F14-4D1C-A459-C7ED72D642C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8B6BA882-4AD8-4FEE-B93C-A439695606D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3CC35AB1-45C4-437D-8B38-0F63626AF32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3" name="TextBox 1">
          <a:extLst>
            <a:ext uri="{FF2B5EF4-FFF2-40B4-BE49-F238E27FC236}">
              <a16:creationId xmlns:a16="http://schemas.microsoft.com/office/drawing/2014/main" id="{48EFD9A5-EB9D-4F59-997E-08312C31C36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4" name="TextBox 1">
          <a:extLst>
            <a:ext uri="{FF2B5EF4-FFF2-40B4-BE49-F238E27FC236}">
              <a16:creationId xmlns:a16="http://schemas.microsoft.com/office/drawing/2014/main" id="{548C0A1F-9CEA-4CA7-B27E-BBF404F46B6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8C518C47-AF5A-43C7-98F9-F5D88244BC5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7123F1B9-E901-49FB-B727-7409752326C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7" name="TextBox 1">
          <a:extLst>
            <a:ext uri="{FF2B5EF4-FFF2-40B4-BE49-F238E27FC236}">
              <a16:creationId xmlns:a16="http://schemas.microsoft.com/office/drawing/2014/main" id="{34109831-6923-4A42-A9F8-70A7CA634F6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8" name="TextBox 1">
          <a:extLst>
            <a:ext uri="{FF2B5EF4-FFF2-40B4-BE49-F238E27FC236}">
              <a16:creationId xmlns:a16="http://schemas.microsoft.com/office/drawing/2014/main" id="{07739091-3017-47A2-904C-1A99E4816D5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F6766812-257F-4BE5-9EB0-81B08B83DB0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5C22E2BD-C2FF-4D39-8BD6-30B9EA3EA9B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1" name="TextBox 1">
          <a:extLst>
            <a:ext uri="{FF2B5EF4-FFF2-40B4-BE49-F238E27FC236}">
              <a16:creationId xmlns:a16="http://schemas.microsoft.com/office/drawing/2014/main" id="{1D6FE448-0CC3-4D02-9462-AF9961821A7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2" name="TextBox 1">
          <a:extLst>
            <a:ext uri="{FF2B5EF4-FFF2-40B4-BE49-F238E27FC236}">
              <a16:creationId xmlns:a16="http://schemas.microsoft.com/office/drawing/2014/main" id="{1E7E3D0C-820F-4816-8D73-875C0709C7F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F5064600-9446-44EF-8EC3-4BFBAE16FB9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79ED61FA-781F-462D-805A-E5CC02D760C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5" name="TextBox 1">
          <a:extLst>
            <a:ext uri="{FF2B5EF4-FFF2-40B4-BE49-F238E27FC236}">
              <a16:creationId xmlns:a16="http://schemas.microsoft.com/office/drawing/2014/main" id="{97FE42D0-BDB9-417E-B946-8CF88412636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6" name="TextBox 1">
          <a:extLst>
            <a:ext uri="{FF2B5EF4-FFF2-40B4-BE49-F238E27FC236}">
              <a16:creationId xmlns:a16="http://schemas.microsoft.com/office/drawing/2014/main" id="{8FE6D51C-52DE-4B42-B7DE-4C57655A430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C2DD1EC3-AD57-4829-80EF-1BCE5132DEE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50549A34-F7AA-4FA3-8A78-65609F3A3AB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9" name="TextBox 1">
          <a:extLst>
            <a:ext uri="{FF2B5EF4-FFF2-40B4-BE49-F238E27FC236}">
              <a16:creationId xmlns:a16="http://schemas.microsoft.com/office/drawing/2014/main" id="{759B3C6E-7662-4A31-8440-6A4D77891E6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0" name="TextBox 1">
          <a:extLst>
            <a:ext uri="{FF2B5EF4-FFF2-40B4-BE49-F238E27FC236}">
              <a16:creationId xmlns:a16="http://schemas.microsoft.com/office/drawing/2014/main" id="{DBF4C4B3-FF21-4762-A25A-47759E0C983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57348C59-AE37-44A0-B759-74E47312A79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EC5DD62D-5B28-4C87-A8A4-BC4E3A95489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3" name="TextBox 1">
          <a:extLst>
            <a:ext uri="{FF2B5EF4-FFF2-40B4-BE49-F238E27FC236}">
              <a16:creationId xmlns:a16="http://schemas.microsoft.com/office/drawing/2014/main" id="{87038FB3-82F4-4D49-BB26-3BA51C67BCB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4" name="TextBox 1">
          <a:extLst>
            <a:ext uri="{FF2B5EF4-FFF2-40B4-BE49-F238E27FC236}">
              <a16:creationId xmlns:a16="http://schemas.microsoft.com/office/drawing/2014/main" id="{40554716-8C52-4D41-BF0C-8E01A3C2251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BB6BCD76-53D8-463E-81BA-D98FFC070BF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4F78BE62-E171-417B-A104-11F65D605FD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7" name="TextBox 1">
          <a:extLst>
            <a:ext uri="{FF2B5EF4-FFF2-40B4-BE49-F238E27FC236}">
              <a16:creationId xmlns:a16="http://schemas.microsoft.com/office/drawing/2014/main" id="{D40123FF-18B4-4114-AFA6-DD5E3FB6DEC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8" name="TextBox 1">
          <a:extLst>
            <a:ext uri="{FF2B5EF4-FFF2-40B4-BE49-F238E27FC236}">
              <a16:creationId xmlns:a16="http://schemas.microsoft.com/office/drawing/2014/main" id="{4EA825BF-BAD2-48A8-80D5-054D69A685A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78C95676-01B0-483B-BEF0-1229BFD955F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72130619-8A19-44AC-8731-EBF0FC992C9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32DD7585-DD82-40A8-A6F0-CD7578621B4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2" name="TextBox 1">
          <a:extLst>
            <a:ext uri="{FF2B5EF4-FFF2-40B4-BE49-F238E27FC236}">
              <a16:creationId xmlns:a16="http://schemas.microsoft.com/office/drawing/2014/main" id="{5A9C0249-A9F1-4DE4-91C1-2930C96C8B9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3" name="TextBox 1">
          <a:extLst>
            <a:ext uri="{FF2B5EF4-FFF2-40B4-BE49-F238E27FC236}">
              <a16:creationId xmlns:a16="http://schemas.microsoft.com/office/drawing/2014/main" id="{5B946C8D-D715-429C-B489-3D7B19DB634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2223D74E-F3DD-4D4F-8FBE-0DD2B2D28C9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8F2183C9-4D27-4759-8456-20F80F1F998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6" name="TextBox 1">
          <a:extLst>
            <a:ext uri="{FF2B5EF4-FFF2-40B4-BE49-F238E27FC236}">
              <a16:creationId xmlns:a16="http://schemas.microsoft.com/office/drawing/2014/main" id="{8711B488-20E9-424E-AE3A-0DFD52D264F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7" name="TextBox 1">
          <a:extLst>
            <a:ext uri="{FF2B5EF4-FFF2-40B4-BE49-F238E27FC236}">
              <a16:creationId xmlns:a16="http://schemas.microsoft.com/office/drawing/2014/main" id="{49856B8C-8309-460E-824B-2799A6DF873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6E00FE0E-7FA7-4567-B9E0-668E1349B05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958C8BE0-95CB-455B-857C-F7B27939D5E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0" name="TextBox 1">
          <a:extLst>
            <a:ext uri="{FF2B5EF4-FFF2-40B4-BE49-F238E27FC236}">
              <a16:creationId xmlns:a16="http://schemas.microsoft.com/office/drawing/2014/main" id="{4417BCF4-6094-4D2E-B909-3B36A4332DC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1" name="TextBox 1">
          <a:extLst>
            <a:ext uri="{FF2B5EF4-FFF2-40B4-BE49-F238E27FC236}">
              <a16:creationId xmlns:a16="http://schemas.microsoft.com/office/drawing/2014/main" id="{D66318BB-501F-459A-80B0-2EB3AFD18C2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C19B02F5-74D6-4B34-AA9F-5DAD2FBCA08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E347DF6B-9C3D-42C8-950D-BD6D2821512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4" name="TextBox 1">
          <a:extLst>
            <a:ext uri="{FF2B5EF4-FFF2-40B4-BE49-F238E27FC236}">
              <a16:creationId xmlns:a16="http://schemas.microsoft.com/office/drawing/2014/main" id="{C91DC32F-5553-45AF-ACE4-8F1C3AC06FD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5" name="TextBox 1">
          <a:extLst>
            <a:ext uri="{FF2B5EF4-FFF2-40B4-BE49-F238E27FC236}">
              <a16:creationId xmlns:a16="http://schemas.microsoft.com/office/drawing/2014/main" id="{461BD222-91BE-47AA-886F-52DA32A2058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DE126024-E6C5-422F-9A7D-196C2A2F22E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20CE5EEA-D600-4E9F-861A-BAEA03758CB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8" name="TextBox 1">
          <a:extLst>
            <a:ext uri="{FF2B5EF4-FFF2-40B4-BE49-F238E27FC236}">
              <a16:creationId xmlns:a16="http://schemas.microsoft.com/office/drawing/2014/main" id="{92439F11-E163-45B0-A57F-BC74CA0903D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9" name="TextBox 1">
          <a:extLst>
            <a:ext uri="{FF2B5EF4-FFF2-40B4-BE49-F238E27FC236}">
              <a16:creationId xmlns:a16="http://schemas.microsoft.com/office/drawing/2014/main" id="{6C144DE5-E398-4AAB-BAC5-DD789F6344C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E8B3857A-7851-44C3-9114-0CED6B94C37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E821DA3C-B7C9-4267-B5B1-39E998268F8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2" name="TextBox 1">
          <a:extLst>
            <a:ext uri="{FF2B5EF4-FFF2-40B4-BE49-F238E27FC236}">
              <a16:creationId xmlns:a16="http://schemas.microsoft.com/office/drawing/2014/main" id="{50A53C68-CF76-4019-8ADE-B5268776EF7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3" name="TextBox 1">
          <a:extLst>
            <a:ext uri="{FF2B5EF4-FFF2-40B4-BE49-F238E27FC236}">
              <a16:creationId xmlns:a16="http://schemas.microsoft.com/office/drawing/2014/main" id="{46F497AF-81B6-4AC5-A2A0-668466EEF31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349CA3BB-168E-4ED2-90F5-CB8AABA85A8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1E2DD05C-0EE2-4FBA-8EBB-13A21407BF8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6" name="TextBox 1">
          <a:extLst>
            <a:ext uri="{FF2B5EF4-FFF2-40B4-BE49-F238E27FC236}">
              <a16:creationId xmlns:a16="http://schemas.microsoft.com/office/drawing/2014/main" id="{BA844CEA-05BF-4258-921E-9D289386A9A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7" name="TextBox 1">
          <a:extLst>
            <a:ext uri="{FF2B5EF4-FFF2-40B4-BE49-F238E27FC236}">
              <a16:creationId xmlns:a16="http://schemas.microsoft.com/office/drawing/2014/main" id="{9E3E4DCC-3A2D-4B58-84EF-2C584A4C1E1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5A33EFA0-ACE2-4AE8-8991-1A71E837E4A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F5A8EC60-7057-406D-B50D-584BD8ACDF9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0" name="TextBox 1">
          <a:extLst>
            <a:ext uri="{FF2B5EF4-FFF2-40B4-BE49-F238E27FC236}">
              <a16:creationId xmlns:a16="http://schemas.microsoft.com/office/drawing/2014/main" id="{DCF60F5A-47AF-4946-9D42-8309A29601D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1" name="TextBox 1">
          <a:extLst>
            <a:ext uri="{FF2B5EF4-FFF2-40B4-BE49-F238E27FC236}">
              <a16:creationId xmlns:a16="http://schemas.microsoft.com/office/drawing/2014/main" id="{2F2CDA9E-F71F-4950-ADC3-91FF830A891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F8C1FD1E-BE76-4E22-9FD8-8DCDAB807CA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505FD3D0-FB27-42B3-9B12-8DF23337C2A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4" name="TextBox 1">
          <a:extLst>
            <a:ext uri="{FF2B5EF4-FFF2-40B4-BE49-F238E27FC236}">
              <a16:creationId xmlns:a16="http://schemas.microsoft.com/office/drawing/2014/main" id="{02AE9F06-0A6F-4D43-9BFF-B47B703B717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5" name="TextBox 1">
          <a:extLst>
            <a:ext uri="{FF2B5EF4-FFF2-40B4-BE49-F238E27FC236}">
              <a16:creationId xmlns:a16="http://schemas.microsoft.com/office/drawing/2014/main" id="{29303152-6088-4166-965E-C67DA73CF6E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B5411B95-1F2D-4DC5-8A49-588BACFD1CA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9E41E1B9-CD25-499B-BB1F-73EF98DB27D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8" name="TextBox 1">
          <a:extLst>
            <a:ext uri="{FF2B5EF4-FFF2-40B4-BE49-F238E27FC236}">
              <a16:creationId xmlns:a16="http://schemas.microsoft.com/office/drawing/2014/main" id="{4C6AA481-9876-43CB-9A23-54AA6E711AD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9" name="TextBox 1">
          <a:extLst>
            <a:ext uri="{FF2B5EF4-FFF2-40B4-BE49-F238E27FC236}">
              <a16:creationId xmlns:a16="http://schemas.microsoft.com/office/drawing/2014/main" id="{9CD27AED-B057-4156-B3E7-A314EDB46FA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C8637DB3-EAC2-47C4-88AC-5591DAD6A11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BBEDBC4C-5760-435E-8421-6C63377376C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2" name="TextBox 1">
          <a:extLst>
            <a:ext uri="{FF2B5EF4-FFF2-40B4-BE49-F238E27FC236}">
              <a16:creationId xmlns:a16="http://schemas.microsoft.com/office/drawing/2014/main" id="{12BA10AB-5AD5-4296-85DB-EC2507067B5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3" name="TextBox 1">
          <a:extLst>
            <a:ext uri="{FF2B5EF4-FFF2-40B4-BE49-F238E27FC236}">
              <a16:creationId xmlns:a16="http://schemas.microsoft.com/office/drawing/2014/main" id="{3605D114-938E-4896-AFCE-BF444C4CD81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7218338D-49D1-46CB-8CAF-096D79AAE4F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93E62558-A264-4506-BB8B-BFA37EDA356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C89A9474-E805-4D9D-934C-434B7081DD9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7" name="TextBox 1">
          <a:extLst>
            <a:ext uri="{FF2B5EF4-FFF2-40B4-BE49-F238E27FC236}">
              <a16:creationId xmlns:a16="http://schemas.microsoft.com/office/drawing/2014/main" id="{63DC42F0-B50D-482A-9E80-C68C4FEA3F3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8" name="TextBox 1">
          <a:extLst>
            <a:ext uri="{FF2B5EF4-FFF2-40B4-BE49-F238E27FC236}">
              <a16:creationId xmlns:a16="http://schemas.microsoft.com/office/drawing/2014/main" id="{86F2C706-9A5B-4A4D-A9E8-845066E36C7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3AAE1096-AE56-496D-B7F9-A4F1522A773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FA6FC7BA-E9CA-463C-96D6-8EB54BD113A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1" name="TextBox 1">
          <a:extLst>
            <a:ext uri="{FF2B5EF4-FFF2-40B4-BE49-F238E27FC236}">
              <a16:creationId xmlns:a16="http://schemas.microsoft.com/office/drawing/2014/main" id="{8851D2ED-9535-43EA-979B-6E3FD233939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2" name="TextBox 1">
          <a:extLst>
            <a:ext uri="{FF2B5EF4-FFF2-40B4-BE49-F238E27FC236}">
              <a16:creationId xmlns:a16="http://schemas.microsoft.com/office/drawing/2014/main" id="{7CD6C06B-02E7-44B6-88C9-384871D9C57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83FD81FE-F227-4EF9-B0C4-ACFAF23C734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425757DA-8BFC-4AC9-89FF-D208D697F86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5" name="TextBox 1">
          <a:extLst>
            <a:ext uri="{FF2B5EF4-FFF2-40B4-BE49-F238E27FC236}">
              <a16:creationId xmlns:a16="http://schemas.microsoft.com/office/drawing/2014/main" id="{7FE31B42-42A3-4AF2-B0D8-AD97FCA4180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6" name="TextBox 1">
          <a:extLst>
            <a:ext uri="{FF2B5EF4-FFF2-40B4-BE49-F238E27FC236}">
              <a16:creationId xmlns:a16="http://schemas.microsoft.com/office/drawing/2014/main" id="{9B9E3878-8AC2-4C9A-9467-B5BFEC1BE7A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4CF2F244-DF41-4CAE-BFDD-CCCE5EFD1B3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194A711D-BB30-4BD6-935B-E8CCB363569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9" name="TextBox 1">
          <a:extLst>
            <a:ext uri="{FF2B5EF4-FFF2-40B4-BE49-F238E27FC236}">
              <a16:creationId xmlns:a16="http://schemas.microsoft.com/office/drawing/2014/main" id="{E764FD3F-24DE-4F7B-9C22-070AF2B64D3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0" name="TextBox 1">
          <a:extLst>
            <a:ext uri="{FF2B5EF4-FFF2-40B4-BE49-F238E27FC236}">
              <a16:creationId xmlns:a16="http://schemas.microsoft.com/office/drawing/2014/main" id="{1CFB5FC9-EE4C-4830-B2BE-0372DE2071E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DF369271-FA85-4451-9782-6B04FACB2EE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D9C7A9DD-4210-451B-80A4-4ABD02369EA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3" name="TextBox 1">
          <a:extLst>
            <a:ext uri="{FF2B5EF4-FFF2-40B4-BE49-F238E27FC236}">
              <a16:creationId xmlns:a16="http://schemas.microsoft.com/office/drawing/2014/main" id="{036D08E7-BABC-4A1D-81F7-9C72507549F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4" name="TextBox 1">
          <a:extLst>
            <a:ext uri="{FF2B5EF4-FFF2-40B4-BE49-F238E27FC236}">
              <a16:creationId xmlns:a16="http://schemas.microsoft.com/office/drawing/2014/main" id="{EE641786-2F5A-4E95-BD31-1DCCD8A8CDF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A116CCC1-0315-40D1-96A0-8F1B7A0AC68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318B644D-87BF-4720-A4A3-881BCFE123B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7" name="TextBox 1">
          <a:extLst>
            <a:ext uri="{FF2B5EF4-FFF2-40B4-BE49-F238E27FC236}">
              <a16:creationId xmlns:a16="http://schemas.microsoft.com/office/drawing/2014/main" id="{1A2A0A9A-961D-41C5-B575-D740C3D3DF4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8" name="TextBox 1">
          <a:extLst>
            <a:ext uri="{FF2B5EF4-FFF2-40B4-BE49-F238E27FC236}">
              <a16:creationId xmlns:a16="http://schemas.microsoft.com/office/drawing/2014/main" id="{BC6BB756-0D37-4AA1-B667-EB3647BB3BA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77FD7CCA-C018-4EB6-B0E7-A96DD3EB44C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1DA17D1A-43C3-4E77-8A72-92C6D82D943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1" name="TextBox 1">
          <a:extLst>
            <a:ext uri="{FF2B5EF4-FFF2-40B4-BE49-F238E27FC236}">
              <a16:creationId xmlns:a16="http://schemas.microsoft.com/office/drawing/2014/main" id="{21EAF7BF-7E3F-48F1-A712-E91EABB7129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2" name="TextBox 1">
          <a:extLst>
            <a:ext uri="{FF2B5EF4-FFF2-40B4-BE49-F238E27FC236}">
              <a16:creationId xmlns:a16="http://schemas.microsoft.com/office/drawing/2014/main" id="{6D82FF11-0F3E-4E8F-97EE-46E8CC91B51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062B17D0-199D-4A8B-875A-30D94290343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9C0599C7-0BEE-4EE2-8B03-A4C9B1142EB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5" name="TextBox 1">
          <a:extLst>
            <a:ext uri="{FF2B5EF4-FFF2-40B4-BE49-F238E27FC236}">
              <a16:creationId xmlns:a16="http://schemas.microsoft.com/office/drawing/2014/main" id="{9291D3AF-1DC3-4EDF-AAFC-F8AC72218D9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6" name="TextBox 1">
          <a:extLst>
            <a:ext uri="{FF2B5EF4-FFF2-40B4-BE49-F238E27FC236}">
              <a16:creationId xmlns:a16="http://schemas.microsoft.com/office/drawing/2014/main" id="{2B34F2A0-807D-453C-93A9-E87DE913991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5E7673A2-F274-45E3-B9C8-6AF43408968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8FD7D83E-F653-4471-8EB0-66DD9E2CAB1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9" name="TextBox 1">
          <a:extLst>
            <a:ext uri="{FF2B5EF4-FFF2-40B4-BE49-F238E27FC236}">
              <a16:creationId xmlns:a16="http://schemas.microsoft.com/office/drawing/2014/main" id="{599222D4-FB53-45BC-A628-F0BB5470DDC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0" name="TextBox 1">
          <a:extLst>
            <a:ext uri="{FF2B5EF4-FFF2-40B4-BE49-F238E27FC236}">
              <a16:creationId xmlns:a16="http://schemas.microsoft.com/office/drawing/2014/main" id="{3CBF5A75-B6E1-47A6-89E7-21002AA9024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12D92788-35B3-4346-A10A-6206184A9A3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2" name="TextBox 1">
          <a:extLst>
            <a:ext uri="{FF2B5EF4-FFF2-40B4-BE49-F238E27FC236}">
              <a16:creationId xmlns:a16="http://schemas.microsoft.com/office/drawing/2014/main" id="{9E634063-EA19-4A78-ADF4-69C9D6F9B23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3" name="TextBox 1">
          <a:extLst>
            <a:ext uri="{FF2B5EF4-FFF2-40B4-BE49-F238E27FC236}">
              <a16:creationId xmlns:a16="http://schemas.microsoft.com/office/drawing/2014/main" id="{A69F4EC7-D411-48A3-90D4-DE00E8A6D14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5958880B-346A-47DC-88D6-767F275F133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5" name="TextBox 1">
          <a:extLst>
            <a:ext uri="{FF2B5EF4-FFF2-40B4-BE49-F238E27FC236}">
              <a16:creationId xmlns:a16="http://schemas.microsoft.com/office/drawing/2014/main" id="{85485C1C-CA47-4686-9131-62899D8B64F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1DC5EC42-B955-4479-859D-D2C5F1009D3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7" name="TextBox 1">
          <a:extLst>
            <a:ext uri="{FF2B5EF4-FFF2-40B4-BE49-F238E27FC236}">
              <a16:creationId xmlns:a16="http://schemas.microsoft.com/office/drawing/2014/main" id="{7A909818-5B55-41F3-9ECC-254A1946AA0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8" name="TextBox 1">
          <a:extLst>
            <a:ext uri="{FF2B5EF4-FFF2-40B4-BE49-F238E27FC236}">
              <a16:creationId xmlns:a16="http://schemas.microsoft.com/office/drawing/2014/main" id="{00B4CB47-42D1-41FE-BAE5-F364C185CCD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B7F2FA3D-28CB-49CA-89AE-AFA63D1F574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296E8F17-3120-48E3-B893-8D5408BB814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1" name="TextBox 1">
          <a:extLst>
            <a:ext uri="{FF2B5EF4-FFF2-40B4-BE49-F238E27FC236}">
              <a16:creationId xmlns:a16="http://schemas.microsoft.com/office/drawing/2014/main" id="{F39320D9-A282-4F54-A771-87F4228EB84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2" name="TextBox 1">
          <a:extLst>
            <a:ext uri="{FF2B5EF4-FFF2-40B4-BE49-F238E27FC236}">
              <a16:creationId xmlns:a16="http://schemas.microsoft.com/office/drawing/2014/main" id="{D4AF9ACE-B331-4034-B932-A966E4C6C01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E2BF5406-EF40-41CB-8D3D-228596EB7A7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B73E9E99-875C-4B31-8352-DC797F4A6DE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FBF6A25D-817C-411C-B64D-6CFFCA0E33D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6" name="TextBox 1">
          <a:extLst>
            <a:ext uri="{FF2B5EF4-FFF2-40B4-BE49-F238E27FC236}">
              <a16:creationId xmlns:a16="http://schemas.microsoft.com/office/drawing/2014/main" id="{7E614BA5-B9E0-495F-996E-F404F2B5EC5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7" name="TextBox 1">
          <a:extLst>
            <a:ext uri="{FF2B5EF4-FFF2-40B4-BE49-F238E27FC236}">
              <a16:creationId xmlns:a16="http://schemas.microsoft.com/office/drawing/2014/main" id="{9DDB69AA-7D97-4919-A495-C87D8015901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03DF894F-F8DD-4DA3-83AF-29C3CD6D9F1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8743FF27-324B-47F9-BBB4-ABE4B7672FC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0" name="TextBox 1">
          <a:extLst>
            <a:ext uri="{FF2B5EF4-FFF2-40B4-BE49-F238E27FC236}">
              <a16:creationId xmlns:a16="http://schemas.microsoft.com/office/drawing/2014/main" id="{A141798B-1C0B-483B-8FFF-E6DA67377E4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1" name="TextBox 1">
          <a:extLst>
            <a:ext uri="{FF2B5EF4-FFF2-40B4-BE49-F238E27FC236}">
              <a16:creationId xmlns:a16="http://schemas.microsoft.com/office/drawing/2014/main" id="{241BD496-A87E-4710-BB77-535B4382E0D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22686D10-090A-4477-85B7-8D7EC561C73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C4505184-93BB-4F1F-B5C8-CD81E0A18AA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4" name="TextBox 1">
          <a:extLst>
            <a:ext uri="{FF2B5EF4-FFF2-40B4-BE49-F238E27FC236}">
              <a16:creationId xmlns:a16="http://schemas.microsoft.com/office/drawing/2014/main" id="{C70B2DD1-F8DF-49D8-9352-8CCFDDDCD73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5" name="TextBox 1">
          <a:extLst>
            <a:ext uri="{FF2B5EF4-FFF2-40B4-BE49-F238E27FC236}">
              <a16:creationId xmlns:a16="http://schemas.microsoft.com/office/drawing/2014/main" id="{FA269350-C331-4210-86AE-E3F30B1E207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521DA185-8995-4782-958C-1182005F872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78CF1E3C-99F7-4C0B-B910-90DAAFF6024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8" name="TextBox 1">
          <a:extLst>
            <a:ext uri="{FF2B5EF4-FFF2-40B4-BE49-F238E27FC236}">
              <a16:creationId xmlns:a16="http://schemas.microsoft.com/office/drawing/2014/main" id="{C1B5CFB4-0D07-4F25-A295-332059A8937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9" name="TextBox 1">
          <a:extLst>
            <a:ext uri="{FF2B5EF4-FFF2-40B4-BE49-F238E27FC236}">
              <a16:creationId xmlns:a16="http://schemas.microsoft.com/office/drawing/2014/main" id="{54A0DB85-CA7E-4EE7-B091-2E93F868ADA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4A9391F2-ACAA-4439-BB4A-D82BFD00F8B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8CECD3CF-8D0A-4B04-AA3E-E37FEBFF45C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2" name="TextBox 1">
          <a:extLst>
            <a:ext uri="{FF2B5EF4-FFF2-40B4-BE49-F238E27FC236}">
              <a16:creationId xmlns:a16="http://schemas.microsoft.com/office/drawing/2014/main" id="{0CBB3818-3CA6-4135-960D-BFCDBF83351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3" name="TextBox 1">
          <a:extLst>
            <a:ext uri="{FF2B5EF4-FFF2-40B4-BE49-F238E27FC236}">
              <a16:creationId xmlns:a16="http://schemas.microsoft.com/office/drawing/2014/main" id="{4612F694-CC3A-47ED-980E-5C9654A7A43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89C260FA-57BC-4CC1-A4B2-010102D613A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CF1D5979-5627-4CD1-BA31-B1DC1FCFB43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6" name="TextBox 1">
          <a:extLst>
            <a:ext uri="{FF2B5EF4-FFF2-40B4-BE49-F238E27FC236}">
              <a16:creationId xmlns:a16="http://schemas.microsoft.com/office/drawing/2014/main" id="{7F3879D4-8360-467A-9BDF-13BBEDDF5EA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7" name="TextBox 1">
          <a:extLst>
            <a:ext uri="{FF2B5EF4-FFF2-40B4-BE49-F238E27FC236}">
              <a16:creationId xmlns:a16="http://schemas.microsoft.com/office/drawing/2014/main" id="{97A19A4B-5910-4F50-BDC7-1EF7C0F3D0C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9C04BF43-FC5F-46DD-9492-A0DCE5ED14B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000BD698-88A6-446E-A7BE-3008AF334F0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0" name="TextBox 1">
          <a:extLst>
            <a:ext uri="{FF2B5EF4-FFF2-40B4-BE49-F238E27FC236}">
              <a16:creationId xmlns:a16="http://schemas.microsoft.com/office/drawing/2014/main" id="{291CEDFC-26EC-4460-9BBC-915CAD15CA9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1" name="TextBox 1">
          <a:extLst>
            <a:ext uri="{FF2B5EF4-FFF2-40B4-BE49-F238E27FC236}">
              <a16:creationId xmlns:a16="http://schemas.microsoft.com/office/drawing/2014/main" id="{8C1572A8-E020-4176-9C6F-2A4870DEBBB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9076626F-6386-4301-9DD2-D3418AA20A4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AD54B749-FEB2-4C6E-B93B-6F16337725B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4" name="TextBox 1">
          <a:extLst>
            <a:ext uri="{FF2B5EF4-FFF2-40B4-BE49-F238E27FC236}">
              <a16:creationId xmlns:a16="http://schemas.microsoft.com/office/drawing/2014/main" id="{29D779F2-3F38-490B-AB92-11095AD6002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5" name="TextBox 1">
          <a:extLst>
            <a:ext uri="{FF2B5EF4-FFF2-40B4-BE49-F238E27FC236}">
              <a16:creationId xmlns:a16="http://schemas.microsoft.com/office/drawing/2014/main" id="{AE784AF6-460A-4E26-9D40-981A7BA8080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ADB10C79-B352-43F7-A2F2-AA0518BE0AD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65F47483-CCBE-44FD-9360-4E881272B52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8" name="TextBox 1">
          <a:extLst>
            <a:ext uri="{FF2B5EF4-FFF2-40B4-BE49-F238E27FC236}">
              <a16:creationId xmlns:a16="http://schemas.microsoft.com/office/drawing/2014/main" id="{9799D2FE-E6B0-4BA6-913F-672320F094E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9" name="TextBox 1">
          <a:extLst>
            <a:ext uri="{FF2B5EF4-FFF2-40B4-BE49-F238E27FC236}">
              <a16:creationId xmlns:a16="http://schemas.microsoft.com/office/drawing/2014/main" id="{8D2126F5-50A3-4CDC-86B5-F117269F9C5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FD8CC156-D5CD-4AC9-A14E-16B7EB66559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0723D6F3-8CDC-4AD5-8594-1434E45FCC6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E734F3F4-733F-4900-8C3F-9E091E65AB6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3" name="TextBox 1">
          <a:extLst>
            <a:ext uri="{FF2B5EF4-FFF2-40B4-BE49-F238E27FC236}">
              <a16:creationId xmlns:a16="http://schemas.microsoft.com/office/drawing/2014/main" id="{CB0D1361-C886-4659-8B0C-97C98BBCC53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4" name="TextBox 1">
          <a:extLst>
            <a:ext uri="{FF2B5EF4-FFF2-40B4-BE49-F238E27FC236}">
              <a16:creationId xmlns:a16="http://schemas.microsoft.com/office/drawing/2014/main" id="{751859F1-1500-4BA0-80A8-5B641EA82D6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1EBD8B6E-5CEA-4721-9D76-9F67D507F2E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6982D244-414A-483A-88AE-FFA6C34BF70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7" name="TextBox 1">
          <a:extLst>
            <a:ext uri="{FF2B5EF4-FFF2-40B4-BE49-F238E27FC236}">
              <a16:creationId xmlns:a16="http://schemas.microsoft.com/office/drawing/2014/main" id="{94AD1ABB-F6CD-4619-B17F-E4976253028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8" name="TextBox 1">
          <a:extLst>
            <a:ext uri="{FF2B5EF4-FFF2-40B4-BE49-F238E27FC236}">
              <a16:creationId xmlns:a16="http://schemas.microsoft.com/office/drawing/2014/main" id="{A290DF2C-DE2C-4B98-8F36-7DA1213DA69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E2154589-1149-4FDB-B8D5-0AF079EFC39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569F5F5A-1712-4AEA-A122-7058887406E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1" name="TextBox 1">
          <a:extLst>
            <a:ext uri="{FF2B5EF4-FFF2-40B4-BE49-F238E27FC236}">
              <a16:creationId xmlns:a16="http://schemas.microsoft.com/office/drawing/2014/main" id="{15B8A075-BFCD-4A98-B692-11D20AD8542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2" name="TextBox 1">
          <a:extLst>
            <a:ext uri="{FF2B5EF4-FFF2-40B4-BE49-F238E27FC236}">
              <a16:creationId xmlns:a16="http://schemas.microsoft.com/office/drawing/2014/main" id="{FEA1AE9D-0F0C-4DB8-9357-8DF1E0B50CF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442688BE-5D80-4249-A209-4E43DF84CC8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66ED00C2-C5FA-4BC2-A4E6-E4D5557F555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5" name="TextBox 1">
          <a:extLst>
            <a:ext uri="{FF2B5EF4-FFF2-40B4-BE49-F238E27FC236}">
              <a16:creationId xmlns:a16="http://schemas.microsoft.com/office/drawing/2014/main" id="{1FBCA6C2-2F34-4F81-889D-194EBCD9A0C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6" name="TextBox 1">
          <a:extLst>
            <a:ext uri="{FF2B5EF4-FFF2-40B4-BE49-F238E27FC236}">
              <a16:creationId xmlns:a16="http://schemas.microsoft.com/office/drawing/2014/main" id="{86A42D29-95D5-4820-B9AA-A6024FE8475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44B9B7A6-24DB-4559-B40C-90F4F43B139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C3E4C5B9-C351-40F2-B4CA-4C3CA3406E3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9" name="TextBox 1">
          <a:extLst>
            <a:ext uri="{FF2B5EF4-FFF2-40B4-BE49-F238E27FC236}">
              <a16:creationId xmlns:a16="http://schemas.microsoft.com/office/drawing/2014/main" id="{BA3B9026-3D60-4577-BBE7-A4A6EDFD56C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0" name="TextBox 1">
          <a:extLst>
            <a:ext uri="{FF2B5EF4-FFF2-40B4-BE49-F238E27FC236}">
              <a16:creationId xmlns:a16="http://schemas.microsoft.com/office/drawing/2014/main" id="{514A5C75-968C-4887-9E40-00884C97BC2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054E9323-1268-4F5F-BC7A-64F2F4E689C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6D156D3C-DD99-41DD-97F4-1DA361C4B7D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3" name="TextBox 1">
          <a:extLst>
            <a:ext uri="{FF2B5EF4-FFF2-40B4-BE49-F238E27FC236}">
              <a16:creationId xmlns:a16="http://schemas.microsoft.com/office/drawing/2014/main" id="{8A6A9998-15AF-4AA9-B1CA-1B0C97D058F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4" name="TextBox 1">
          <a:extLst>
            <a:ext uri="{FF2B5EF4-FFF2-40B4-BE49-F238E27FC236}">
              <a16:creationId xmlns:a16="http://schemas.microsoft.com/office/drawing/2014/main" id="{AFCD28A2-EB8E-4E96-9F2A-D7564A63B86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6249CC50-CB71-4B36-A863-B9F1EA0E9ED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833F8D7F-71FF-4ED9-AEF9-D574497FA53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7" name="TextBox 1">
          <a:extLst>
            <a:ext uri="{FF2B5EF4-FFF2-40B4-BE49-F238E27FC236}">
              <a16:creationId xmlns:a16="http://schemas.microsoft.com/office/drawing/2014/main" id="{0630CDEA-CE5A-497A-AD88-CF99C4A3B77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8" name="TextBox 1">
          <a:extLst>
            <a:ext uri="{FF2B5EF4-FFF2-40B4-BE49-F238E27FC236}">
              <a16:creationId xmlns:a16="http://schemas.microsoft.com/office/drawing/2014/main" id="{18E03D03-F76B-4109-9A81-EA0209FADEC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37B77841-6280-4609-800F-C132327D724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E80C9356-5982-4B9C-9A8D-56B3232B7F9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1" name="TextBox 1">
          <a:extLst>
            <a:ext uri="{FF2B5EF4-FFF2-40B4-BE49-F238E27FC236}">
              <a16:creationId xmlns:a16="http://schemas.microsoft.com/office/drawing/2014/main" id="{625F6509-81F2-4561-BA0D-03619ED4C6A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2" name="TextBox 1">
          <a:extLst>
            <a:ext uri="{FF2B5EF4-FFF2-40B4-BE49-F238E27FC236}">
              <a16:creationId xmlns:a16="http://schemas.microsoft.com/office/drawing/2014/main" id="{8995A14B-A2EA-4612-B2BA-AAC3FA134B7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B3FCF97B-CA79-45D7-BDD0-DEA551D7721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1CDDBAB4-4335-498F-9398-ACE62274B6A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5" name="TextBox 1">
          <a:extLst>
            <a:ext uri="{FF2B5EF4-FFF2-40B4-BE49-F238E27FC236}">
              <a16:creationId xmlns:a16="http://schemas.microsoft.com/office/drawing/2014/main" id="{0612C02E-4176-49A2-92BF-A09CD768FBA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6" name="TextBox 1">
          <a:extLst>
            <a:ext uri="{FF2B5EF4-FFF2-40B4-BE49-F238E27FC236}">
              <a16:creationId xmlns:a16="http://schemas.microsoft.com/office/drawing/2014/main" id="{314C080F-8C27-4F82-87B9-318C909FBA6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79AAF9DF-63E9-4036-87E5-2CA98DBD73A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0D12E685-D862-40DC-AF53-C72F7700216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9" name="TextBox 1">
          <a:extLst>
            <a:ext uri="{FF2B5EF4-FFF2-40B4-BE49-F238E27FC236}">
              <a16:creationId xmlns:a16="http://schemas.microsoft.com/office/drawing/2014/main" id="{9C3E100F-6128-4E04-8252-A13C9C5DBE2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0" name="TextBox 1">
          <a:extLst>
            <a:ext uri="{FF2B5EF4-FFF2-40B4-BE49-F238E27FC236}">
              <a16:creationId xmlns:a16="http://schemas.microsoft.com/office/drawing/2014/main" id="{E5E6F794-F1DE-4344-B2FA-581DB8E42A7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BC55C93D-E92C-4D0D-BC17-7CB960B28F1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A2202743-AB2F-484A-B2D6-666E8BCA65E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3" name="TextBox 1">
          <a:extLst>
            <a:ext uri="{FF2B5EF4-FFF2-40B4-BE49-F238E27FC236}">
              <a16:creationId xmlns:a16="http://schemas.microsoft.com/office/drawing/2014/main" id="{B1A03509-563C-4BBD-ACE9-9638AF6E6AE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4" name="TextBox 1">
          <a:extLst>
            <a:ext uri="{FF2B5EF4-FFF2-40B4-BE49-F238E27FC236}">
              <a16:creationId xmlns:a16="http://schemas.microsoft.com/office/drawing/2014/main" id="{35D6B377-586A-4AF4-96CC-3F578147C57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FBF4FDE8-360C-40B7-B23B-37F728D90C3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11AD93AC-5604-4874-8B7D-3C4766D6671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DD554171-F285-445E-8650-3C37909DE6C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8" name="TextBox 1">
          <a:extLst>
            <a:ext uri="{FF2B5EF4-FFF2-40B4-BE49-F238E27FC236}">
              <a16:creationId xmlns:a16="http://schemas.microsoft.com/office/drawing/2014/main" id="{5620D296-3709-4D26-9B33-7A96F6A29D2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9" name="TextBox 1">
          <a:extLst>
            <a:ext uri="{FF2B5EF4-FFF2-40B4-BE49-F238E27FC236}">
              <a16:creationId xmlns:a16="http://schemas.microsoft.com/office/drawing/2014/main" id="{85B9FE06-C831-461C-B265-1C808A0A62F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92D68082-DB8E-4C9A-B6F8-6361FF460E8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A6E6BBC6-9D64-4B14-BE59-C5763D97A07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2" name="TextBox 1">
          <a:extLst>
            <a:ext uri="{FF2B5EF4-FFF2-40B4-BE49-F238E27FC236}">
              <a16:creationId xmlns:a16="http://schemas.microsoft.com/office/drawing/2014/main" id="{7E578C29-31ED-4D3A-8EBA-9CD004902A4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3" name="TextBox 1">
          <a:extLst>
            <a:ext uri="{FF2B5EF4-FFF2-40B4-BE49-F238E27FC236}">
              <a16:creationId xmlns:a16="http://schemas.microsoft.com/office/drawing/2014/main" id="{80AD92E1-A4B8-44A2-80A4-AFE8F2A3F7A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F3EF8E8A-B2BB-417A-89C4-291E377422D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51DCEC6E-6D3C-455D-9111-1C944989719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6" name="TextBox 1">
          <a:extLst>
            <a:ext uri="{FF2B5EF4-FFF2-40B4-BE49-F238E27FC236}">
              <a16:creationId xmlns:a16="http://schemas.microsoft.com/office/drawing/2014/main" id="{38CEAED3-B689-4509-9A8B-36F91011FEF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7" name="TextBox 1">
          <a:extLst>
            <a:ext uri="{FF2B5EF4-FFF2-40B4-BE49-F238E27FC236}">
              <a16:creationId xmlns:a16="http://schemas.microsoft.com/office/drawing/2014/main" id="{7B49E840-3A49-4D26-B292-1494ECF287B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5D4F55D5-0952-4B60-A5FF-7D7ADA03F0C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5F86DAE3-07CB-4771-952D-8735B221F96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0" name="TextBox 1">
          <a:extLst>
            <a:ext uri="{FF2B5EF4-FFF2-40B4-BE49-F238E27FC236}">
              <a16:creationId xmlns:a16="http://schemas.microsoft.com/office/drawing/2014/main" id="{3C39773D-2942-4BB2-9292-D35211E1351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1" name="TextBox 1">
          <a:extLst>
            <a:ext uri="{FF2B5EF4-FFF2-40B4-BE49-F238E27FC236}">
              <a16:creationId xmlns:a16="http://schemas.microsoft.com/office/drawing/2014/main" id="{9B200B3B-1A25-423D-8FB6-52B4E610127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073547CD-AC5E-4022-B3C5-6AB4507FAE7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153067B9-535D-4027-A525-095F5B8011A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4" name="TextBox 1">
          <a:extLst>
            <a:ext uri="{FF2B5EF4-FFF2-40B4-BE49-F238E27FC236}">
              <a16:creationId xmlns:a16="http://schemas.microsoft.com/office/drawing/2014/main" id="{C04D68D5-A789-4BB0-91B5-D0C2BEE0F9E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5" name="TextBox 1">
          <a:extLst>
            <a:ext uri="{FF2B5EF4-FFF2-40B4-BE49-F238E27FC236}">
              <a16:creationId xmlns:a16="http://schemas.microsoft.com/office/drawing/2014/main" id="{8154AD9C-5CB7-4CE8-B446-91EE1EA3925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ADD21282-C490-4779-B3F2-2D67F3A2FEA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2D470CE1-DDC1-4BA0-9930-03AB7EE9A13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8" name="TextBox 1">
          <a:extLst>
            <a:ext uri="{FF2B5EF4-FFF2-40B4-BE49-F238E27FC236}">
              <a16:creationId xmlns:a16="http://schemas.microsoft.com/office/drawing/2014/main" id="{AE22BE77-99D8-4529-AF26-4DD36E66E67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9" name="TextBox 1">
          <a:extLst>
            <a:ext uri="{FF2B5EF4-FFF2-40B4-BE49-F238E27FC236}">
              <a16:creationId xmlns:a16="http://schemas.microsoft.com/office/drawing/2014/main" id="{1313D408-ADBD-49B3-BF84-AD344A38112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68CEE4EA-0D97-45F1-9C0C-CD8472E5B2E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429C2FE2-6E33-47E9-816C-57AB934C9F4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2" name="TextBox 1">
          <a:extLst>
            <a:ext uri="{FF2B5EF4-FFF2-40B4-BE49-F238E27FC236}">
              <a16:creationId xmlns:a16="http://schemas.microsoft.com/office/drawing/2014/main" id="{FF62CAEA-5D96-4B8E-A42A-E821511241D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3" name="TextBox 1">
          <a:extLst>
            <a:ext uri="{FF2B5EF4-FFF2-40B4-BE49-F238E27FC236}">
              <a16:creationId xmlns:a16="http://schemas.microsoft.com/office/drawing/2014/main" id="{340ECB9B-2B4F-4716-A1F3-EE706157C01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94B9E411-ABBE-4A14-B157-98E1BEE5A52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3CF3E6A8-5A62-41F4-82AB-8483DF05926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6" name="TextBox 1">
          <a:extLst>
            <a:ext uri="{FF2B5EF4-FFF2-40B4-BE49-F238E27FC236}">
              <a16:creationId xmlns:a16="http://schemas.microsoft.com/office/drawing/2014/main" id="{5D28A17F-3F3F-4709-9A7F-DFA0DC4C22A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7" name="TextBox 1">
          <a:extLst>
            <a:ext uri="{FF2B5EF4-FFF2-40B4-BE49-F238E27FC236}">
              <a16:creationId xmlns:a16="http://schemas.microsoft.com/office/drawing/2014/main" id="{0C379CE4-285F-435E-9DDA-198A2F57549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A47CFE89-0FF7-4E06-AA60-FF41F75292E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B23C161A-5D97-46D6-9FEA-0D6F85A76D2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0" name="TextBox 1">
          <a:extLst>
            <a:ext uri="{FF2B5EF4-FFF2-40B4-BE49-F238E27FC236}">
              <a16:creationId xmlns:a16="http://schemas.microsoft.com/office/drawing/2014/main" id="{450B3226-08E2-4331-BF6C-DBC393BE01B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1" name="TextBox 1">
          <a:extLst>
            <a:ext uri="{FF2B5EF4-FFF2-40B4-BE49-F238E27FC236}">
              <a16:creationId xmlns:a16="http://schemas.microsoft.com/office/drawing/2014/main" id="{D270E61E-0BDF-4EF3-92AD-F47785271B9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46F17FF5-A43F-464A-B2A7-ABEA8E35D0B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3" name="TextBox 1">
          <a:extLst>
            <a:ext uri="{FF2B5EF4-FFF2-40B4-BE49-F238E27FC236}">
              <a16:creationId xmlns:a16="http://schemas.microsoft.com/office/drawing/2014/main" id="{0831ABFC-EC52-4C08-AA54-4E93288DBA3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4" name="TextBox 1">
          <a:extLst>
            <a:ext uri="{FF2B5EF4-FFF2-40B4-BE49-F238E27FC236}">
              <a16:creationId xmlns:a16="http://schemas.microsoft.com/office/drawing/2014/main" id="{BC62252E-C188-48AD-A772-D19AB9CAB78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E59594FD-C30F-4B7A-A0FF-31669ACDE57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6" name="TextBox 1">
          <a:extLst>
            <a:ext uri="{FF2B5EF4-FFF2-40B4-BE49-F238E27FC236}">
              <a16:creationId xmlns:a16="http://schemas.microsoft.com/office/drawing/2014/main" id="{972B7549-6F05-4407-881E-50E4C6445CE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8EDBD7CA-B8D3-47C1-81A6-BDBEE243C7F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8" name="TextBox 1">
          <a:extLst>
            <a:ext uri="{FF2B5EF4-FFF2-40B4-BE49-F238E27FC236}">
              <a16:creationId xmlns:a16="http://schemas.microsoft.com/office/drawing/2014/main" id="{2B0F7184-346A-47F8-9DBB-5D311A448D5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9" name="TextBox 1">
          <a:extLst>
            <a:ext uri="{FF2B5EF4-FFF2-40B4-BE49-F238E27FC236}">
              <a16:creationId xmlns:a16="http://schemas.microsoft.com/office/drawing/2014/main" id="{D1A0DA0B-1656-4E6E-8C73-B7D8AAAFE7A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45D802E7-09CD-44DB-80EA-E34B3491123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F356ED7A-581C-41CC-AB0C-CFAB86182D8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2" name="TextBox 1">
          <a:extLst>
            <a:ext uri="{FF2B5EF4-FFF2-40B4-BE49-F238E27FC236}">
              <a16:creationId xmlns:a16="http://schemas.microsoft.com/office/drawing/2014/main" id="{98A21805-889C-43DA-B621-72D61120717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3" name="TextBox 1">
          <a:extLst>
            <a:ext uri="{FF2B5EF4-FFF2-40B4-BE49-F238E27FC236}">
              <a16:creationId xmlns:a16="http://schemas.microsoft.com/office/drawing/2014/main" id="{95A81675-5031-4AC9-8031-C4FDCAD6912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8D8349A9-E0E3-40F6-8E59-68DC8BB32EB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2EB09F4D-1491-4F77-81A0-8DC36FF0ECD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F003B035-D12A-4250-B665-70AC972D21B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7" name="TextBox 1">
          <a:extLst>
            <a:ext uri="{FF2B5EF4-FFF2-40B4-BE49-F238E27FC236}">
              <a16:creationId xmlns:a16="http://schemas.microsoft.com/office/drawing/2014/main" id="{EFAFD2B7-073C-4937-941A-7D59B5BE772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8" name="TextBox 1">
          <a:extLst>
            <a:ext uri="{FF2B5EF4-FFF2-40B4-BE49-F238E27FC236}">
              <a16:creationId xmlns:a16="http://schemas.microsoft.com/office/drawing/2014/main" id="{86A5BE25-E6E4-4FEC-80FF-1E7CF6E3BD1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1021EDB0-B41E-4625-8105-2CF7F08E32E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3FEE8DCC-E83D-418F-83D8-A026788EBB3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1" name="TextBox 1">
          <a:extLst>
            <a:ext uri="{FF2B5EF4-FFF2-40B4-BE49-F238E27FC236}">
              <a16:creationId xmlns:a16="http://schemas.microsoft.com/office/drawing/2014/main" id="{46334841-A457-4F02-96E7-E5D04B3F4C0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2" name="TextBox 1">
          <a:extLst>
            <a:ext uri="{FF2B5EF4-FFF2-40B4-BE49-F238E27FC236}">
              <a16:creationId xmlns:a16="http://schemas.microsoft.com/office/drawing/2014/main" id="{CABE18D7-B05A-42AD-A511-C925F1788F5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91BA5947-4E0C-4970-94F7-86967B6FB7C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BD678B6B-FBD1-41EE-970A-3539E8179D3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5" name="TextBox 1">
          <a:extLst>
            <a:ext uri="{FF2B5EF4-FFF2-40B4-BE49-F238E27FC236}">
              <a16:creationId xmlns:a16="http://schemas.microsoft.com/office/drawing/2014/main" id="{9989E617-187A-4A09-94DA-B9EF199CE5E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6" name="TextBox 1">
          <a:extLst>
            <a:ext uri="{FF2B5EF4-FFF2-40B4-BE49-F238E27FC236}">
              <a16:creationId xmlns:a16="http://schemas.microsoft.com/office/drawing/2014/main" id="{0EC2BF4A-FB9F-4E27-821A-FFAA4B98C96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A57ED422-5842-4730-B4B5-020ECD62A7A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5AF690FB-5BCB-45E4-8CF7-6EA631067B3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9" name="TextBox 1">
          <a:extLst>
            <a:ext uri="{FF2B5EF4-FFF2-40B4-BE49-F238E27FC236}">
              <a16:creationId xmlns:a16="http://schemas.microsoft.com/office/drawing/2014/main" id="{96EA0057-54C1-4E4F-84B3-1C212231007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0" name="TextBox 1">
          <a:extLst>
            <a:ext uri="{FF2B5EF4-FFF2-40B4-BE49-F238E27FC236}">
              <a16:creationId xmlns:a16="http://schemas.microsoft.com/office/drawing/2014/main" id="{E1D6485B-74DC-49B0-93B2-1B05279E2EE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DB2FC990-7B33-43C8-ABDA-B520660A0F9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B0C422EC-C565-4070-A2ED-AAB60139770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3" name="TextBox 1">
          <a:extLst>
            <a:ext uri="{FF2B5EF4-FFF2-40B4-BE49-F238E27FC236}">
              <a16:creationId xmlns:a16="http://schemas.microsoft.com/office/drawing/2014/main" id="{A8C97141-2DA8-484B-8BC4-1C59926198B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4" name="TextBox 1">
          <a:extLst>
            <a:ext uri="{FF2B5EF4-FFF2-40B4-BE49-F238E27FC236}">
              <a16:creationId xmlns:a16="http://schemas.microsoft.com/office/drawing/2014/main" id="{708DF3C3-61EF-4B3E-97BB-31C040BC5E3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B941D4B7-D8A4-4C16-AB96-44DED7D771F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84F626E1-379F-4FCE-81C0-D7929A635F7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7" name="TextBox 1">
          <a:extLst>
            <a:ext uri="{FF2B5EF4-FFF2-40B4-BE49-F238E27FC236}">
              <a16:creationId xmlns:a16="http://schemas.microsoft.com/office/drawing/2014/main" id="{D21AD2EF-D2FF-46FC-827D-8B3D4874290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8" name="TextBox 1">
          <a:extLst>
            <a:ext uri="{FF2B5EF4-FFF2-40B4-BE49-F238E27FC236}">
              <a16:creationId xmlns:a16="http://schemas.microsoft.com/office/drawing/2014/main" id="{32D52012-A26F-429E-93E6-71E00BDF834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BE751CB2-9F56-49E9-8D79-F5036083731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1AE0D0A2-1AFC-4CB1-B398-348B7A62AA1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1" name="TextBox 1">
          <a:extLst>
            <a:ext uri="{FF2B5EF4-FFF2-40B4-BE49-F238E27FC236}">
              <a16:creationId xmlns:a16="http://schemas.microsoft.com/office/drawing/2014/main" id="{DA2548BF-887E-48A4-A2AA-FB8E22EA60E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2" name="TextBox 1">
          <a:extLst>
            <a:ext uri="{FF2B5EF4-FFF2-40B4-BE49-F238E27FC236}">
              <a16:creationId xmlns:a16="http://schemas.microsoft.com/office/drawing/2014/main" id="{D6AA211E-7DC5-46B0-8D18-CDFFD2B22C1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84CAF8B2-DEA7-45EA-8A46-A2635372991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A1957E1A-3D8C-40C7-A596-2CA0C445BAE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5" name="TextBox 1">
          <a:extLst>
            <a:ext uri="{FF2B5EF4-FFF2-40B4-BE49-F238E27FC236}">
              <a16:creationId xmlns:a16="http://schemas.microsoft.com/office/drawing/2014/main" id="{FEBF8E36-913D-4A67-A81B-4169D28DFF4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6" name="TextBox 1">
          <a:extLst>
            <a:ext uri="{FF2B5EF4-FFF2-40B4-BE49-F238E27FC236}">
              <a16:creationId xmlns:a16="http://schemas.microsoft.com/office/drawing/2014/main" id="{6FA44DA7-0D73-44A5-91D4-815320EE281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69852988-A2F3-411B-8231-8D19652707A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2C67A0B8-02A2-4373-97E1-0F7014E2A55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9" name="TextBox 1">
          <a:extLst>
            <a:ext uri="{FF2B5EF4-FFF2-40B4-BE49-F238E27FC236}">
              <a16:creationId xmlns:a16="http://schemas.microsoft.com/office/drawing/2014/main" id="{34791336-54AE-4BFD-9D8C-CE8191CE434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0" name="TextBox 1">
          <a:extLst>
            <a:ext uri="{FF2B5EF4-FFF2-40B4-BE49-F238E27FC236}">
              <a16:creationId xmlns:a16="http://schemas.microsoft.com/office/drawing/2014/main" id="{E6D04889-5C95-4F6F-8E38-50D9AFB5187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3E6E9549-CF55-48F9-BB00-D70105D2882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81F5D134-F028-479F-BAAE-3099A266C10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E5BBF685-8C53-46ED-9E21-181355D6FE0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4" name="TextBox 1">
          <a:extLst>
            <a:ext uri="{FF2B5EF4-FFF2-40B4-BE49-F238E27FC236}">
              <a16:creationId xmlns:a16="http://schemas.microsoft.com/office/drawing/2014/main" id="{8CE4394A-8CD7-48C2-9607-E09E7D7DEFD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5" name="TextBox 1">
          <a:extLst>
            <a:ext uri="{FF2B5EF4-FFF2-40B4-BE49-F238E27FC236}">
              <a16:creationId xmlns:a16="http://schemas.microsoft.com/office/drawing/2014/main" id="{2B54DFFB-A9EF-4FA5-B3CE-16DDBB12847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CB410FE0-49B4-409E-82CF-6B25FCCFBA1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32465CB7-BECE-4C52-AE81-189EFD329A5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8" name="TextBox 1">
          <a:extLst>
            <a:ext uri="{FF2B5EF4-FFF2-40B4-BE49-F238E27FC236}">
              <a16:creationId xmlns:a16="http://schemas.microsoft.com/office/drawing/2014/main" id="{D2DCFD93-94A3-4730-86EB-F8AE8121C8A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9" name="TextBox 1">
          <a:extLst>
            <a:ext uri="{FF2B5EF4-FFF2-40B4-BE49-F238E27FC236}">
              <a16:creationId xmlns:a16="http://schemas.microsoft.com/office/drawing/2014/main" id="{2DF36025-880B-4EE5-AC05-5A57D96CB4F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F159399D-719F-4A45-A9C3-332A80E3956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B8D9DC7E-80F5-4008-94C5-557818D3D64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2" name="TextBox 1">
          <a:extLst>
            <a:ext uri="{FF2B5EF4-FFF2-40B4-BE49-F238E27FC236}">
              <a16:creationId xmlns:a16="http://schemas.microsoft.com/office/drawing/2014/main" id="{A962AB3E-A581-42F4-A62C-B054A87369C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3" name="TextBox 1">
          <a:extLst>
            <a:ext uri="{FF2B5EF4-FFF2-40B4-BE49-F238E27FC236}">
              <a16:creationId xmlns:a16="http://schemas.microsoft.com/office/drawing/2014/main" id="{325E6E24-52B4-4080-97DC-F85C51DD84A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5A8BEB57-0949-4FDF-A1A7-AAB8610169A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90FC2343-B0CF-487B-ABF7-8589F7C834E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6" name="TextBox 1">
          <a:extLst>
            <a:ext uri="{FF2B5EF4-FFF2-40B4-BE49-F238E27FC236}">
              <a16:creationId xmlns:a16="http://schemas.microsoft.com/office/drawing/2014/main" id="{A516D8D6-A36D-4850-8EFA-37E7DB422C9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7" name="TextBox 1">
          <a:extLst>
            <a:ext uri="{FF2B5EF4-FFF2-40B4-BE49-F238E27FC236}">
              <a16:creationId xmlns:a16="http://schemas.microsoft.com/office/drawing/2014/main" id="{8CC5F137-560A-4D98-AF6F-FF7506692A6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B1AAE999-95F2-417E-AFCD-B7693F6AC84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6C17B0D1-12AF-4686-978C-D799232ECF7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0" name="TextBox 1">
          <a:extLst>
            <a:ext uri="{FF2B5EF4-FFF2-40B4-BE49-F238E27FC236}">
              <a16:creationId xmlns:a16="http://schemas.microsoft.com/office/drawing/2014/main" id="{A7D7C5BB-5D6F-44C3-96E4-C528D3BF4C3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1" name="TextBox 1">
          <a:extLst>
            <a:ext uri="{FF2B5EF4-FFF2-40B4-BE49-F238E27FC236}">
              <a16:creationId xmlns:a16="http://schemas.microsoft.com/office/drawing/2014/main" id="{5E8E0D2C-A193-48C0-A402-E34A70A1B67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BAAF1D2B-1597-4C5C-99C3-920B64EA9FF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371F18A5-8E0E-40E8-9132-0FD37848C40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4" name="TextBox 1">
          <a:extLst>
            <a:ext uri="{FF2B5EF4-FFF2-40B4-BE49-F238E27FC236}">
              <a16:creationId xmlns:a16="http://schemas.microsoft.com/office/drawing/2014/main" id="{0E94BED5-3950-4461-B0AE-7B3E9E5FEAF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5" name="TextBox 1">
          <a:extLst>
            <a:ext uri="{FF2B5EF4-FFF2-40B4-BE49-F238E27FC236}">
              <a16:creationId xmlns:a16="http://schemas.microsoft.com/office/drawing/2014/main" id="{B4C4A2FD-AA2D-472A-AA7A-CF9FE1044FB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B945BAB8-3919-4674-98AC-28B6627F6FB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B93F25F7-9F14-41F1-8747-33741A25A42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8" name="TextBox 1">
          <a:extLst>
            <a:ext uri="{FF2B5EF4-FFF2-40B4-BE49-F238E27FC236}">
              <a16:creationId xmlns:a16="http://schemas.microsoft.com/office/drawing/2014/main" id="{D3B477E4-B8DB-4CB5-BE70-5BFE0C433B0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9" name="TextBox 1">
          <a:extLst>
            <a:ext uri="{FF2B5EF4-FFF2-40B4-BE49-F238E27FC236}">
              <a16:creationId xmlns:a16="http://schemas.microsoft.com/office/drawing/2014/main" id="{3CB7AB3E-A728-475D-AF44-EDBD8FEF5FA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14C82CEA-5376-4156-A394-A28EAE2B4AC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EF3A6C7C-B97C-4C41-9E68-40BD3807823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2" name="TextBox 1">
          <a:extLst>
            <a:ext uri="{FF2B5EF4-FFF2-40B4-BE49-F238E27FC236}">
              <a16:creationId xmlns:a16="http://schemas.microsoft.com/office/drawing/2014/main" id="{A8492162-0DF1-45B6-932C-A259145E0A6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3" name="TextBox 1">
          <a:extLst>
            <a:ext uri="{FF2B5EF4-FFF2-40B4-BE49-F238E27FC236}">
              <a16:creationId xmlns:a16="http://schemas.microsoft.com/office/drawing/2014/main" id="{72B4FF83-A67A-4418-8747-475E1757892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94D030D8-85E4-42BB-8FBF-A217537E63E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1BEEADCE-8199-4A60-93F1-6EBAFC67EBC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6" name="TextBox 1">
          <a:extLst>
            <a:ext uri="{FF2B5EF4-FFF2-40B4-BE49-F238E27FC236}">
              <a16:creationId xmlns:a16="http://schemas.microsoft.com/office/drawing/2014/main" id="{4514A0D1-9377-400B-8128-87A6FA2450F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7" name="TextBox 1">
          <a:extLst>
            <a:ext uri="{FF2B5EF4-FFF2-40B4-BE49-F238E27FC236}">
              <a16:creationId xmlns:a16="http://schemas.microsoft.com/office/drawing/2014/main" id="{4BF6D449-05E5-4236-AE0F-5F5A4EAB1EB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CCD75DD3-5A07-4866-BCD5-D393A35BB70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3568CBDA-C75F-4CA0-8E34-341CB117D73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0" name="TextBox 1">
          <a:extLst>
            <a:ext uri="{FF2B5EF4-FFF2-40B4-BE49-F238E27FC236}">
              <a16:creationId xmlns:a16="http://schemas.microsoft.com/office/drawing/2014/main" id="{457BE78E-8061-483F-AE07-0F5A4B08909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1" name="TextBox 1">
          <a:extLst>
            <a:ext uri="{FF2B5EF4-FFF2-40B4-BE49-F238E27FC236}">
              <a16:creationId xmlns:a16="http://schemas.microsoft.com/office/drawing/2014/main" id="{AD5A97C6-86CE-4C75-9D67-9C227637F9A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44ACE2E2-86E2-4A88-986E-82F4EB417AC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58BFF002-D40C-4A37-B3B9-78405BDA5EE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4" name="TextBox 1">
          <a:extLst>
            <a:ext uri="{FF2B5EF4-FFF2-40B4-BE49-F238E27FC236}">
              <a16:creationId xmlns:a16="http://schemas.microsoft.com/office/drawing/2014/main" id="{09C94062-A5C5-41FB-8766-A2762196D3D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5" name="TextBox 1">
          <a:extLst>
            <a:ext uri="{FF2B5EF4-FFF2-40B4-BE49-F238E27FC236}">
              <a16:creationId xmlns:a16="http://schemas.microsoft.com/office/drawing/2014/main" id="{78E7C2E4-F036-4882-B13C-07AF527C202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AFC0D116-8975-4913-8DF3-88E1A868DEA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16B97ED7-5D9A-4192-A6A4-33C526338B0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02EF19D6-D462-4F74-BA82-D4C2B4A34FC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9" name="TextBox 1">
          <a:extLst>
            <a:ext uri="{FF2B5EF4-FFF2-40B4-BE49-F238E27FC236}">
              <a16:creationId xmlns:a16="http://schemas.microsoft.com/office/drawing/2014/main" id="{F4CF9133-BC62-47F2-8DE2-854261BB219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0" name="TextBox 1">
          <a:extLst>
            <a:ext uri="{FF2B5EF4-FFF2-40B4-BE49-F238E27FC236}">
              <a16:creationId xmlns:a16="http://schemas.microsoft.com/office/drawing/2014/main" id="{82FA7070-2B08-4784-AA45-C9A641EC28B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0E87E9D0-3FF0-49FE-BACD-2E9CB000BE5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3F6913CA-AA27-4E75-AA49-0666BCBE157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3" name="TextBox 1">
          <a:extLst>
            <a:ext uri="{FF2B5EF4-FFF2-40B4-BE49-F238E27FC236}">
              <a16:creationId xmlns:a16="http://schemas.microsoft.com/office/drawing/2014/main" id="{31FDFD28-D6AE-46C8-909D-FA6ECB25474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4" name="TextBox 1">
          <a:extLst>
            <a:ext uri="{FF2B5EF4-FFF2-40B4-BE49-F238E27FC236}">
              <a16:creationId xmlns:a16="http://schemas.microsoft.com/office/drawing/2014/main" id="{11566421-374A-4384-863D-AE1DA36B36A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C11501D3-EF0A-4A45-AC7E-7C4CA2F0684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9F2F6736-91E6-43D2-B2ED-4910237A6B1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7" name="TextBox 1">
          <a:extLst>
            <a:ext uri="{FF2B5EF4-FFF2-40B4-BE49-F238E27FC236}">
              <a16:creationId xmlns:a16="http://schemas.microsoft.com/office/drawing/2014/main" id="{9E040936-66B1-455A-AE38-BFA41AD4F5F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8" name="TextBox 1">
          <a:extLst>
            <a:ext uri="{FF2B5EF4-FFF2-40B4-BE49-F238E27FC236}">
              <a16:creationId xmlns:a16="http://schemas.microsoft.com/office/drawing/2014/main" id="{13A79F8E-AC79-4416-B6F5-8A5E3A28C05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B5359847-4141-4AF7-9431-897431C2EBD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A94AEB7A-F28F-4B63-9C19-34EE4D3811E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1" name="TextBox 1">
          <a:extLst>
            <a:ext uri="{FF2B5EF4-FFF2-40B4-BE49-F238E27FC236}">
              <a16:creationId xmlns:a16="http://schemas.microsoft.com/office/drawing/2014/main" id="{0756AAE8-9C84-4EB0-8A49-65A7FBC1BA9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2" name="TextBox 1">
          <a:extLst>
            <a:ext uri="{FF2B5EF4-FFF2-40B4-BE49-F238E27FC236}">
              <a16:creationId xmlns:a16="http://schemas.microsoft.com/office/drawing/2014/main" id="{27949CFA-0A50-4E51-B27F-F9070779685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E1BDED46-E7F1-486E-BB83-58A85296157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6631729C-5D28-4839-8DA5-E3E8DE87C44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5" name="TextBox 1">
          <a:extLst>
            <a:ext uri="{FF2B5EF4-FFF2-40B4-BE49-F238E27FC236}">
              <a16:creationId xmlns:a16="http://schemas.microsoft.com/office/drawing/2014/main" id="{ED9A1D53-8D3B-4FF7-9B67-D72B560702E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6" name="TextBox 1">
          <a:extLst>
            <a:ext uri="{FF2B5EF4-FFF2-40B4-BE49-F238E27FC236}">
              <a16:creationId xmlns:a16="http://schemas.microsoft.com/office/drawing/2014/main" id="{3E28C52B-64C1-435E-8173-A45DD3A6E56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C2F2787A-D225-4299-B51E-C248D53978F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E1BF1CB9-2A7F-4853-B011-E6156972C19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9" name="TextBox 1">
          <a:extLst>
            <a:ext uri="{FF2B5EF4-FFF2-40B4-BE49-F238E27FC236}">
              <a16:creationId xmlns:a16="http://schemas.microsoft.com/office/drawing/2014/main" id="{E370C190-9E23-490E-ABBB-2CCEB2A3135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0" name="TextBox 1">
          <a:extLst>
            <a:ext uri="{FF2B5EF4-FFF2-40B4-BE49-F238E27FC236}">
              <a16:creationId xmlns:a16="http://schemas.microsoft.com/office/drawing/2014/main" id="{BB524274-6672-45DF-87B2-BAEF012B831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C5FAD686-2D88-4B70-84F7-5F749615884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BE17F4C4-70DB-4F34-8341-1F62AF6CDF3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3" name="TextBox 1">
          <a:extLst>
            <a:ext uri="{FF2B5EF4-FFF2-40B4-BE49-F238E27FC236}">
              <a16:creationId xmlns:a16="http://schemas.microsoft.com/office/drawing/2014/main" id="{4F97E19F-843E-45C2-BACE-1E4BBC05E7E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4" name="TextBox 1">
          <a:extLst>
            <a:ext uri="{FF2B5EF4-FFF2-40B4-BE49-F238E27FC236}">
              <a16:creationId xmlns:a16="http://schemas.microsoft.com/office/drawing/2014/main" id="{BF38EAA9-9731-42C2-B3DE-4C63EE24F53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C9891824-A3C7-4C28-A561-683A5C32056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66157A43-2A52-49C5-9CAA-2A26D3D37B6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7" name="TextBox 1">
          <a:extLst>
            <a:ext uri="{FF2B5EF4-FFF2-40B4-BE49-F238E27FC236}">
              <a16:creationId xmlns:a16="http://schemas.microsoft.com/office/drawing/2014/main" id="{07684E96-3BFC-4861-905C-663FC6FE69C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8" name="TextBox 1">
          <a:extLst>
            <a:ext uri="{FF2B5EF4-FFF2-40B4-BE49-F238E27FC236}">
              <a16:creationId xmlns:a16="http://schemas.microsoft.com/office/drawing/2014/main" id="{9BF8088C-2D05-479A-8BDF-F14B23D3084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E7F3B57C-3A6B-44CA-8FDE-CF03D64B0E4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808018D5-6AD4-4135-9088-C49A94CB59D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1" name="TextBox 1">
          <a:extLst>
            <a:ext uri="{FF2B5EF4-FFF2-40B4-BE49-F238E27FC236}">
              <a16:creationId xmlns:a16="http://schemas.microsoft.com/office/drawing/2014/main" id="{D81B9951-76E8-4AF6-9FE7-082BF44C03B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2" name="TextBox 1">
          <a:extLst>
            <a:ext uri="{FF2B5EF4-FFF2-40B4-BE49-F238E27FC236}">
              <a16:creationId xmlns:a16="http://schemas.microsoft.com/office/drawing/2014/main" id="{0FB36914-620D-49DF-AF59-1243C9F3A3A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2D832908-297E-41DD-8DA6-E39F67622AC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4" name="TextBox 1">
          <a:extLst>
            <a:ext uri="{FF2B5EF4-FFF2-40B4-BE49-F238E27FC236}">
              <a16:creationId xmlns:a16="http://schemas.microsoft.com/office/drawing/2014/main" id="{373591F7-0E24-4B63-BE11-B671349ED8A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5" name="TextBox 1">
          <a:extLst>
            <a:ext uri="{FF2B5EF4-FFF2-40B4-BE49-F238E27FC236}">
              <a16:creationId xmlns:a16="http://schemas.microsoft.com/office/drawing/2014/main" id="{58392C05-47B2-4E5D-8652-6FDBC5F1531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E9F7DB53-DF24-4BBE-ADB0-A3F06DCB1E1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7" name="TextBox 1">
          <a:extLst>
            <a:ext uri="{FF2B5EF4-FFF2-40B4-BE49-F238E27FC236}">
              <a16:creationId xmlns:a16="http://schemas.microsoft.com/office/drawing/2014/main" id="{023849F3-E57E-4393-AA34-697D379127F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19883C2F-40BF-4235-81C8-46C00A956D9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9" name="TextBox 1">
          <a:extLst>
            <a:ext uri="{FF2B5EF4-FFF2-40B4-BE49-F238E27FC236}">
              <a16:creationId xmlns:a16="http://schemas.microsoft.com/office/drawing/2014/main" id="{29865C4F-B111-4CA8-A5ED-E1F6482290A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0" name="TextBox 1">
          <a:extLst>
            <a:ext uri="{FF2B5EF4-FFF2-40B4-BE49-F238E27FC236}">
              <a16:creationId xmlns:a16="http://schemas.microsoft.com/office/drawing/2014/main" id="{C345AC87-B0A7-424A-81B2-F1942F690D4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096869B7-3C45-43C7-92B9-DA4CF4A506E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CCBC0FA1-C401-4615-A84F-0C746654E12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3" name="TextBox 1">
          <a:extLst>
            <a:ext uri="{FF2B5EF4-FFF2-40B4-BE49-F238E27FC236}">
              <a16:creationId xmlns:a16="http://schemas.microsoft.com/office/drawing/2014/main" id="{E10CA31F-BE61-4CAE-B0D4-73215A28B93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4" name="TextBox 1">
          <a:extLst>
            <a:ext uri="{FF2B5EF4-FFF2-40B4-BE49-F238E27FC236}">
              <a16:creationId xmlns:a16="http://schemas.microsoft.com/office/drawing/2014/main" id="{1453213B-2C8C-4F66-AC64-08A59A7554E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1D349F35-39E5-4E60-A500-31EA8F918A9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AE572E90-E7FB-4D30-8416-83E2DA46ECA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9D669A23-7484-4DBE-A0EF-71FEC2C8D5C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8" name="TextBox 1">
          <a:extLst>
            <a:ext uri="{FF2B5EF4-FFF2-40B4-BE49-F238E27FC236}">
              <a16:creationId xmlns:a16="http://schemas.microsoft.com/office/drawing/2014/main" id="{EA836B02-F2AA-4CBF-A018-3CDDBAD2B81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9" name="TextBox 1">
          <a:extLst>
            <a:ext uri="{FF2B5EF4-FFF2-40B4-BE49-F238E27FC236}">
              <a16:creationId xmlns:a16="http://schemas.microsoft.com/office/drawing/2014/main" id="{52C58082-1390-4893-8672-EF235F6D76D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57A7DCD2-87C3-447B-B9E6-9088A1B158E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0A6233FC-87DD-4C65-8A53-179D5DCADD5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2" name="TextBox 1">
          <a:extLst>
            <a:ext uri="{FF2B5EF4-FFF2-40B4-BE49-F238E27FC236}">
              <a16:creationId xmlns:a16="http://schemas.microsoft.com/office/drawing/2014/main" id="{C3BDE3B7-4CFE-4EDD-8309-630F8EA446C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3" name="TextBox 1">
          <a:extLst>
            <a:ext uri="{FF2B5EF4-FFF2-40B4-BE49-F238E27FC236}">
              <a16:creationId xmlns:a16="http://schemas.microsoft.com/office/drawing/2014/main" id="{E4BC03A8-DB20-4E24-A211-F17B6631671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EA3284CD-7002-4961-B25C-69EAC5146E9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C17945F9-F5C6-435F-89B8-926620A566E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6" name="TextBox 1">
          <a:extLst>
            <a:ext uri="{FF2B5EF4-FFF2-40B4-BE49-F238E27FC236}">
              <a16:creationId xmlns:a16="http://schemas.microsoft.com/office/drawing/2014/main" id="{324DBB05-86AA-40C4-8431-9CE6BB9A593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7" name="TextBox 1">
          <a:extLst>
            <a:ext uri="{FF2B5EF4-FFF2-40B4-BE49-F238E27FC236}">
              <a16:creationId xmlns:a16="http://schemas.microsoft.com/office/drawing/2014/main" id="{C3675D67-BAAC-4ACE-A2D4-4E13A090BF3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849023E0-BD9E-4920-9E69-3C33AD02FCD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EE8F8358-A72E-4487-9DF6-F2D7AA850D9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0" name="TextBox 1">
          <a:extLst>
            <a:ext uri="{FF2B5EF4-FFF2-40B4-BE49-F238E27FC236}">
              <a16:creationId xmlns:a16="http://schemas.microsoft.com/office/drawing/2014/main" id="{DDDA1E3B-F699-4CCB-B48F-1C5D3D78D07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1" name="TextBox 1">
          <a:extLst>
            <a:ext uri="{FF2B5EF4-FFF2-40B4-BE49-F238E27FC236}">
              <a16:creationId xmlns:a16="http://schemas.microsoft.com/office/drawing/2014/main" id="{BDCDA7C1-13EB-44B4-BE16-7B971724BF2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D3D0EB32-CE99-4B5A-800B-25121AC7E87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D460A018-73E5-4837-ABB1-047BB1BD628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4" name="TextBox 1">
          <a:extLst>
            <a:ext uri="{FF2B5EF4-FFF2-40B4-BE49-F238E27FC236}">
              <a16:creationId xmlns:a16="http://schemas.microsoft.com/office/drawing/2014/main" id="{CDA965AE-A0EC-4F06-A9B6-7F8CA6F8965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5" name="TextBox 1">
          <a:extLst>
            <a:ext uri="{FF2B5EF4-FFF2-40B4-BE49-F238E27FC236}">
              <a16:creationId xmlns:a16="http://schemas.microsoft.com/office/drawing/2014/main" id="{F1EDF273-9691-4BC7-A5B6-BBB210E0407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466EC7A1-6E52-4F68-B724-1987D528F56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73A0A6F6-E4BA-43A1-8B9C-49B8C0C4EC3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8" name="TextBox 1">
          <a:extLst>
            <a:ext uri="{FF2B5EF4-FFF2-40B4-BE49-F238E27FC236}">
              <a16:creationId xmlns:a16="http://schemas.microsoft.com/office/drawing/2014/main" id="{CAC72C38-32C3-468C-9805-C8DA9BBEB0F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9" name="TextBox 1">
          <a:extLst>
            <a:ext uri="{FF2B5EF4-FFF2-40B4-BE49-F238E27FC236}">
              <a16:creationId xmlns:a16="http://schemas.microsoft.com/office/drawing/2014/main" id="{8F3B2C79-42DA-40BB-ADA1-4F5C7CEDAC5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B6F9AFD4-AB63-45DD-AE04-76E93A4FA3F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A61BAFB7-E420-4CBB-8A99-8B8DD14D5FF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2" name="TextBox 1">
          <a:extLst>
            <a:ext uri="{FF2B5EF4-FFF2-40B4-BE49-F238E27FC236}">
              <a16:creationId xmlns:a16="http://schemas.microsoft.com/office/drawing/2014/main" id="{A5E7207B-E95C-4FEA-9204-14DE7622DD3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3" name="TextBox 1">
          <a:extLst>
            <a:ext uri="{FF2B5EF4-FFF2-40B4-BE49-F238E27FC236}">
              <a16:creationId xmlns:a16="http://schemas.microsoft.com/office/drawing/2014/main" id="{91D12803-C476-4415-B37B-1D7E1282884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35D786D9-B31A-4852-8150-A4A2C0E6DE9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225C06A3-4450-458C-B856-ADE336B7076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6" name="TextBox 1">
          <a:extLst>
            <a:ext uri="{FF2B5EF4-FFF2-40B4-BE49-F238E27FC236}">
              <a16:creationId xmlns:a16="http://schemas.microsoft.com/office/drawing/2014/main" id="{E108B922-650D-4E04-8872-05E066A892E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7" name="TextBox 1">
          <a:extLst>
            <a:ext uri="{FF2B5EF4-FFF2-40B4-BE49-F238E27FC236}">
              <a16:creationId xmlns:a16="http://schemas.microsoft.com/office/drawing/2014/main" id="{EE3B90EF-21CF-4259-B4FE-A0CB3FAAD18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8CF049EF-17B6-4881-850C-0F781DF7A07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BA920711-6EE1-4E0A-AD79-26447BB16CF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0" name="TextBox 1">
          <a:extLst>
            <a:ext uri="{FF2B5EF4-FFF2-40B4-BE49-F238E27FC236}">
              <a16:creationId xmlns:a16="http://schemas.microsoft.com/office/drawing/2014/main" id="{3D93C307-9B13-4EB1-9E98-D45C7F3B66D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1" name="TextBox 1">
          <a:extLst>
            <a:ext uri="{FF2B5EF4-FFF2-40B4-BE49-F238E27FC236}">
              <a16:creationId xmlns:a16="http://schemas.microsoft.com/office/drawing/2014/main" id="{8FE9B8DE-9141-41ED-9734-CB3D47B9B33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DA615F19-0E47-45CB-AE82-19161CA853A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A3152C91-4EE5-4744-B97A-A3990952979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8EEBAEBE-58EE-47AF-B982-ECE65F16E01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5" name="TextBox 1">
          <a:extLst>
            <a:ext uri="{FF2B5EF4-FFF2-40B4-BE49-F238E27FC236}">
              <a16:creationId xmlns:a16="http://schemas.microsoft.com/office/drawing/2014/main" id="{E282AAEE-2A7B-44D8-8B02-A0F57A49F53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6" name="TextBox 1">
          <a:extLst>
            <a:ext uri="{FF2B5EF4-FFF2-40B4-BE49-F238E27FC236}">
              <a16:creationId xmlns:a16="http://schemas.microsoft.com/office/drawing/2014/main" id="{039BE11D-0BB2-43D0-97DF-004279A2D62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243C0D29-17E1-4D1B-AB0E-DC34BEFDDCF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FC13AFD2-FCBF-44AC-AB16-AF6B1F5E89C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9" name="TextBox 1">
          <a:extLst>
            <a:ext uri="{FF2B5EF4-FFF2-40B4-BE49-F238E27FC236}">
              <a16:creationId xmlns:a16="http://schemas.microsoft.com/office/drawing/2014/main" id="{E7E3A3C1-F38F-481E-8EFE-989B63BBF5A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0" name="TextBox 1">
          <a:extLst>
            <a:ext uri="{FF2B5EF4-FFF2-40B4-BE49-F238E27FC236}">
              <a16:creationId xmlns:a16="http://schemas.microsoft.com/office/drawing/2014/main" id="{677C051F-4E57-45EB-ABA0-B67EEAF62AB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0F9CEEBE-1DF6-47D6-A6FC-164E2D0C226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CBF38F9D-A3A5-480E-A6B5-7ED18CEB774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3" name="TextBox 1">
          <a:extLst>
            <a:ext uri="{FF2B5EF4-FFF2-40B4-BE49-F238E27FC236}">
              <a16:creationId xmlns:a16="http://schemas.microsoft.com/office/drawing/2014/main" id="{5C410D4B-3C32-4F93-9E28-8751AA90FC1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4" name="TextBox 1">
          <a:extLst>
            <a:ext uri="{FF2B5EF4-FFF2-40B4-BE49-F238E27FC236}">
              <a16:creationId xmlns:a16="http://schemas.microsoft.com/office/drawing/2014/main" id="{4EB99052-D05E-4D44-A47B-FDC8A33D15E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719789C9-8FF4-4FBE-AF69-A6FC979E670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FAB408AB-B1F5-4ABF-AD76-F639CC66EDA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7" name="TextBox 1">
          <a:extLst>
            <a:ext uri="{FF2B5EF4-FFF2-40B4-BE49-F238E27FC236}">
              <a16:creationId xmlns:a16="http://schemas.microsoft.com/office/drawing/2014/main" id="{D4950F11-ACCB-475F-B194-917B3D7DE35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8" name="TextBox 1">
          <a:extLst>
            <a:ext uri="{FF2B5EF4-FFF2-40B4-BE49-F238E27FC236}">
              <a16:creationId xmlns:a16="http://schemas.microsoft.com/office/drawing/2014/main" id="{4C6D3AC8-6C02-45A4-9383-170CFD0D109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911A65C0-38FC-461F-A6F3-F149EAB1579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412A46AE-8B14-42CE-B230-C494E8F7BA9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1" name="TextBox 1">
          <a:extLst>
            <a:ext uri="{FF2B5EF4-FFF2-40B4-BE49-F238E27FC236}">
              <a16:creationId xmlns:a16="http://schemas.microsoft.com/office/drawing/2014/main" id="{04B48E3A-8C13-4E8F-8836-84B32032707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2" name="TextBox 1">
          <a:extLst>
            <a:ext uri="{FF2B5EF4-FFF2-40B4-BE49-F238E27FC236}">
              <a16:creationId xmlns:a16="http://schemas.microsoft.com/office/drawing/2014/main" id="{B35ADA0B-7601-4C26-B743-332D742E85D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D25F154C-F932-4D70-AA9E-752C5F4DA66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D3FEDCE7-BE49-4ACA-B996-08912C6EE90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5" name="TextBox 1">
          <a:extLst>
            <a:ext uri="{FF2B5EF4-FFF2-40B4-BE49-F238E27FC236}">
              <a16:creationId xmlns:a16="http://schemas.microsoft.com/office/drawing/2014/main" id="{A04601BC-4B6A-4E08-91F2-0203434FE9D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6" name="TextBox 1">
          <a:extLst>
            <a:ext uri="{FF2B5EF4-FFF2-40B4-BE49-F238E27FC236}">
              <a16:creationId xmlns:a16="http://schemas.microsoft.com/office/drawing/2014/main" id="{43A9E883-07C0-4718-A76A-EA353652B4A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05420D2F-1F19-49A9-B2FD-04E4B4DBAD9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4EE12E32-10CB-476F-AEB6-EB2B28ADF9C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9" name="TextBox 1">
          <a:extLst>
            <a:ext uri="{FF2B5EF4-FFF2-40B4-BE49-F238E27FC236}">
              <a16:creationId xmlns:a16="http://schemas.microsoft.com/office/drawing/2014/main" id="{7CC516E9-09C4-4ACA-96BB-DC4E9AD499C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0" name="TextBox 1">
          <a:extLst>
            <a:ext uri="{FF2B5EF4-FFF2-40B4-BE49-F238E27FC236}">
              <a16:creationId xmlns:a16="http://schemas.microsoft.com/office/drawing/2014/main" id="{5990698E-50BE-4374-8D07-0EFC1FF6FA6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08C0459C-DE86-4955-8703-12C73CA9D24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395FD193-DE49-44D1-92B4-A5EDDF6CDD8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3" name="TextBox 1">
          <a:extLst>
            <a:ext uri="{FF2B5EF4-FFF2-40B4-BE49-F238E27FC236}">
              <a16:creationId xmlns:a16="http://schemas.microsoft.com/office/drawing/2014/main" id="{A27AE9C3-7493-4310-A7B7-57D62150AE8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4" name="TextBox 1">
          <a:extLst>
            <a:ext uri="{FF2B5EF4-FFF2-40B4-BE49-F238E27FC236}">
              <a16:creationId xmlns:a16="http://schemas.microsoft.com/office/drawing/2014/main" id="{8EDABC0C-787D-4F10-B1C5-1A780C4534F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BE5531BF-E229-4203-B66C-39F35E179A6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E06F7E0F-4A97-4947-8C22-3D1E3B6F0AC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7" name="TextBox 1">
          <a:extLst>
            <a:ext uri="{FF2B5EF4-FFF2-40B4-BE49-F238E27FC236}">
              <a16:creationId xmlns:a16="http://schemas.microsoft.com/office/drawing/2014/main" id="{6303B718-13E2-47A7-BDB9-858DE29A03A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8" name="TextBox 1">
          <a:extLst>
            <a:ext uri="{FF2B5EF4-FFF2-40B4-BE49-F238E27FC236}">
              <a16:creationId xmlns:a16="http://schemas.microsoft.com/office/drawing/2014/main" id="{FB1366ED-A4A1-41B5-93A7-15EE5F85E93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DD24B4CD-9B47-4BD9-83EB-637F2177A98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78AA2F81-3635-428A-A1E3-8B617CBD86A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1" name="TextBox 1">
          <a:extLst>
            <a:ext uri="{FF2B5EF4-FFF2-40B4-BE49-F238E27FC236}">
              <a16:creationId xmlns:a16="http://schemas.microsoft.com/office/drawing/2014/main" id="{C2AF6498-7665-4D54-AA8D-E2030E4256A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2" name="TextBox 1">
          <a:extLst>
            <a:ext uri="{FF2B5EF4-FFF2-40B4-BE49-F238E27FC236}">
              <a16:creationId xmlns:a16="http://schemas.microsoft.com/office/drawing/2014/main" id="{ABA26DEB-1BD3-4724-8AB4-02A8C843B9C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A4B4927A-67BE-4347-8FAC-083C90860A4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65CB0D41-43BD-45C8-9E8C-5D7AE71E653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5" name="TextBox 1">
          <a:extLst>
            <a:ext uri="{FF2B5EF4-FFF2-40B4-BE49-F238E27FC236}">
              <a16:creationId xmlns:a16="http://schemas.microsoft.com/office/drawing/2014/main" id="{29964B01-E602-42B9-9898-2FC453B8DF4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6" name="TextBox 1">
          <a:extLst>
            <a:ext uri="{FF2B5EF4-FFF2-40B4-BE49-F238E27FC236}">
              <a16:creationId xmlns:a16="http://schemas.microsoft.com/office/drawing/2014/main" id="{5B8AC3DD-FA8B-4269-B207-FB230C800FF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06ACCA88-9C01-4EC9-9161-2DD7D31F0F2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3F5424E1-1C27-4BB2-A6B6-75B1BE2081B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35A096D5-9227-4FC9-91A4-01715298918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0" name="TextBox 1">
          <a:extLst>
            <a:ext uri="{FF2B5EF4-FFF2-40B4-BE49-F238E27FC236}">
              <a16:creationId xmlns:a16="http://schemas.microsoft.com/office/drawing/2014/main" id="{6332A9C9-AFDE-4710-8418-B424C7ABB7C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1" name="TextBox 1">
          <a:extLst>
            <a:ext uri="{FF2B5EF4-FFF2-40B4-BE49-F238E27FC236}">
              <a16:creationId xmlns:a16="http://schemas.microsoft.com/office/drawing/2014/main" id="{49572640-474A-4C44-AF39-BEC2230F109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E5CB8E3E-8A0E-418F-8433-61EE847B1D7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C5BE72D9-CCD3-4F85-A4FB-B07B45514D9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4" name="TextBox 1">
          <a:extLst>
            <a:ext uri="{FF2B5EF4-FFF2-40B4-BE49-F238E27FC236}">
              <a16:creationId xmlns:a16="http://schemas.microsoft.com/office/drawing/2014/main" id="{B87D8DC4-A50C-4BBE-AE9E-6E4D81A676D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5" name="TextBox 1">
          <a:extLst>
            <a:ext uri="{FF2B5EF4-FFF2-40B4-BE49-F238E27FC236}">
              <a16:creationId xmlns:a16="http://schemas.microsoft.com/office/drawing/2014/main" id="{3DF20508-E894-4DCD-8B00-D89C472F187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679ADC54-2E6F-42EF-B06D-28830B26C22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DBF01046-4CAB-429F-9632-DE16A5E6200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8" name="TextBox 1">
          <a:extLst>
            <a:ext uri="{FF2B5EF4-FFF2-40B4-BE49-F238E27FC236}">
              <a16:creationId xmlns:a16="http://schemas.microsoft.com/office/drawing/2014/main" id="{0146588C-1154-4EFA-BDA3-F268A3E74BD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9" name="TextBox 1">
          <a:extLst>
            <a:ext uri="{FF2B5EF4-FFF2-40B4-BE49-F238E27FC236}">
              <a16:creationId xmlns:a16="http://schemas.microsoft.com/office/drawing/2014/main" id="{943873C5-AC4D-4661-AAF1-40FFA5F5F6E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18479FF9-8A7D-41DC-B705-98C66023D0C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81D87CF6-6FE6-4AED-ACAC-A01DB2A859D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2" name="TextBox 1">
          <a:extLst>
            <a:ext uri="{FF2B5EF4-FFF2-40B4-BE49-F238E27FC236}">
              <a16:creationId xmlns:a16="http://schemas.microsoft.com/office/drawing/2014/main" id="{3AC692C4-BEBB-4E90-A02F-A06D1674178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3" name="TextBox 1">
          <a:extLst>
            <a:ext uri="{FF2B5EF4-FFF2-40B4-BE49-F238E27FC236}">
              <a16:creationId xmlns:a16="http://schemas.microsoft.com/office/drawing/2014/main" id="{78FE93DB-3098-42F1-927F-99D7DD34916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3F53C036-ECD9-41CF-A2EF-9AB4EFA1551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7D325DE7-2505-4DB3-BACF-DCA59D8EC5A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6" name="TextBox 1">
          <a:extLst>
            <a:ext uri="{FF2B5EF4-FFF2-40B4-BE49-F238E27FC236}">
              <a16:creationId xmlns:a16="http://schemas.microsoft.com/office/drawing/2014/main" id="{9261B8AD-20BA-4CE8-8187-B1610ACBDB2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7" name="TextBox 1">
          <a:extLst>
            <a:ext uri="{FF2B5EF4-FFF2-40B4-BE49-F238E27FC236}">
              <a16:creationId xmlns:a16="http://schemas.microsoft.com/office/drawing/2014/main" id="{7006266F-66CF-459D-9540-7D7973C9AB4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A01F96B2-5D1C-447B-A150-45178628AD0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EC8D77D9-9FC5-4DFE-967B-CD2B58798ED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0" name="TextBox 1">
          <a:extLst>
            <a:ext uri="{FF2B5EF4-FFF2-40B4-BE49-F238E27FC236}">
              <a16:creationId xmlns:a16="http://schemas.microsoft.com/office/drawing/2014/main" id="{D231AE0A-512E-4FD9-BA41-E06557A1A69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1" name="TextBox 1">
          <a:extLst>
            <a:ext uri="{FF2B5EF4-FFF2-40B4-BE49-F238E27FC236}">
              <a16:creationId xmlns:a16="http://schemas.microsoft.com/office/drawing/2014/main" id="{52687673-ACB9-46A9-B485-548A043334A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9070E152-1892-49D8-91FC-3787E2193C5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0AA7E27F-E08A-4E5C-AE6D-85A6899745E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4" name="TextBox 1">
          <a:extLst>
            <a:ext uri="{FF2B5EF4-FFF2-40B4-BE49-F238E27FC236}">
              <a16:creationId xmlns:a16="http://schemas.microsoft.com/office/drawing/2014/main" id="{EE51DC39-42F5-447A-8AA2-FAA0E7628B8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5" name="TextBox 1">
          <a:extLst>
            <a:ext uri="{FF2B5EF4-FFF2-40B4-BE49-F238E27FC236}">
              <a16:creationId xmlns:a16="http://schemas.microsoft.com/office/drawing/2014/main" id="{05F7AA6B-4648-4826-85F3-A3CCBDAAD09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637ED459-8833-4E8D-AC9F-8385D76AB55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334A1315-EB55-4440-8484-51F75CB4A3D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8" name="TextBox 1">
          <a:extLst>
            <a:ext uri="{FF2B5EF4-FFF2-40B4-BE49-F238E27FC236}">
              <a16:creationId xmlns:a16="http://schemas.microsoft.com/office/drawing/2014/main" id="{13AF5070-8125-4549-AB65-BE6DC2556D7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9" name="TextBox 1">
          <a:extLst>
            <a:ext uri="{FF2B5EF4-FFF2-40B4-BE49-F238E27FC236}">
              <a16:creationId xmlns:a16="http://schemas.microsoft.com/office/drawing/2014/main" id="{6278249B-6507-4B1D-98A3-7054247D744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6A0BA4FA-268B-41E9-9DA8-342B05EC1C0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498AF919-AF97-4952-B577-F45FA542A8D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2" name="TextBox 1">
          <a:extLst>
            <a:ext uri="{FF2B5EF4-FFF2-40B4-BE49-F238E27FC236}">
              <a16:creationId xmlns:a16="http://schemas.microsoft.com/office/drawing/2014/main" id="{354B184A-BA80-4F16-B19F-747BF0024F3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3" name="TextBox 1">
          <a:extLst>
            <a:ext uri="{FF2B5EF4-FFF2-40B4-BE49-F238E27FC236}">
              <a16:creationId xmlns:a16="http://schemas.microsoft.com/office/drawing/2014/main" id="{5929477E-DAE0-4AC8-A15E-B78132F4889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4762A67E-2A20-4E9B-AAB4-8B3D07C7FA5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5" name="TextBox 1">
          <a:extLst>
            <a:ext uri="{FF2B5EF4-FFF2-40B4-BE49-F238E27FC236}">
              <a16:creationId xmlns:a16="http://schemas.microsoft.com/office/drawing/2014/main" id="{D3E5B385-B12F-421F-9952-8E45339C1A2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6" name="TextBox 1">
          <a:extLst>
            <a:ext uri="{FF2B5EF4-FFF2-40B4-BE49-F238E27FC236}">
              <a16:creationId xmlns:a16="http://schemas.microsoft.com/office/drawing/2014/main" id="{FE20456E-C5F3-4FE8-AA22-74F7DBFD35B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62321CFD-8473-4900-91D5-AD6EF5A36F7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8" name="TextBox 1">
          <a:extLst>
            <a:ext uri="{FF2B5EF4-FFF2-40B4-BE49-F238E27FC236}">
              <a16:creationId xmlns:a16="http://schemas.microsoft.com/office/drawing/2014/main" id="{9C2FB3F3-7DC1-4F54-89BE-3BEC06B79F8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D969BF2C-3BB7-4302-851D-867ECFC471E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0" name="TextBox 1">
          <a:extLst>
            <a:ext uri="{FF2B5EF4-FFF2-40B4-BE49-F238E27FC236}">
              <a16:creationId xmlns:a16="http://schemas.microsoft.com/office/drawing/2014/main" id="{6045005A-EADD-49FC-BAB2-68A8B0BCFDF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1" name="TextBox 1">
          <a:extLst>
            <a:ext uri="{FF2B5EF4-FFF2-40B4-BE49-F238E27FC236}">
              <a16:creationId xmlns:a16="http://schemas.microsoft.com/office/drawing/2014/main" id="{8C707A92-2074-4B6F-9EC3-5DB69CFC091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5B81DE28-6B9D-4BB0-9A5B-06C81FB9580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F0595090-6442-4D9C-AA09-C2BCA9393D2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4" name="TextBox 1">
          <a:extLst>
            <a:ext uri="{FF2B5EF4-FFF2-40B4-BE49-F238E27FC236}">
              <a16:creationId xmlns:a16="http://schemas.microsoft.com/office/drawing/2014/main" id="{1318299B-E88B-433D-A33F-4F61B425FA5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5" name="TextBox 1">
          <a:extLst>
            <a:ext uri="{FF2B5EF4-FFF2-40B4-BE49-F238E27FC236}">
              <a16:creationId xmlns:a16="http://schemas.microsoft.com/office/drawing/2014/main" id="{D6780F85-3B53-4183-96F2-DE5C9C146CC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CE75D5CD-5410-4A05-AC6F-7B300083A53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4FB138DD-0D86-445E-8446-C19E33D0E9F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02CCE7AB-2C54-4B42-B7C1-955C41D0B2B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9" name="TextBox 1">
          <a:extLst>
            <a:ext uri="{FF2B5EF4-FFF2-40B4-BE49-F238E27FC236}">
              <a16:creationId xmlns:a16="http://schemas.microsoft.com/office/drawing/2014/main" id="{C4666814-0504-4E4A-AD34-BA0B7A9C48D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0" name="TextBox 1">
          <a:extLst>
            <a:ext uri="{FF2B5EF4-FFF2-40B4-BE49-F238E27FC236}">
              <a16:creationId xmlns:a16="http://schemas.microsoft.com/office/drawing/2014/main" id="{A64B8A1C-75E9-4C8C-839A-170AA6C89F9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A8F14C59-3E24-47C7-ADCB-B4BB666C961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4E0DB09C-43A9-4067-9E6A-E7760212F98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3" name="TextBox 1">
          <a:extLst>
            <a:ext uri="{FF2B5EF4-FFF2-40B4-BE49-F238E27FC236}">
              <a16:creationId xmlns:a16="http://schemas.microsoft.com/office/drawing/2014/main" id="{6EC86E7D-25CC-4B39-B9E1-5E1678ED112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4" name="TextBox 1">
          <a:extLst>
            <a:ext uri="{FF2B5EF4-FFF2-40B4-BE49-F238E27FC236}">
              <a16:creationId xmlns:a16="http://schemas.microsoft.com/office/drawing/2014/main" id="{E14BF814-5FB4-4C3F-A901-EF7F392C027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C8776A8B-C18B-482C-8CAD-3F6F4643A84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08FACFF9-2446-4966-90A5-1FF55175C71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7" name="TextBox 1">
          <a:extLst>
            <a:ext uri="{FF2B5EF4-FFF2-40B4-BE49-F238E27FC236}">
              <a16:creationId xmlns:a16="http://schemas.microsoft.com/office/drawing/2014/main" id="{D7630DA4-3F3D-48C3-AA10-4099B7DD0CA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8" name="TextBox 1">
          <a:extLst>
            <a:ext uri="{FF2B5EF4-FFF2-40B4-BE49-F238E27FC236}">
              <a16:creationId xmlns:a16="http://schemas.microsoft.com/office/drawing/2014/main" id="{C1162B26-C31F-4CA0-A149-83AE5046539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D6B076BD-837C-4E83-BA33-A9AC21585EA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92FF99F0-760D-44C2-BD46-973087B73EA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1" name="TextBox 1">
          <a:extLst>
            <a:ext uri="{FF2B5EF4-FFF2-40B4-BE49-F238E27FC236}">
              <a16:creationId xmlns:a16="http://schemas.microsoft.com/office/drawing/2014/main" id="{38B876E7-B9F6-4085-B72D-9D482CCFFB2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2" name="TextBox 1">
          <a:extLst>
            <a:ext uri="{FF2B5EF4-FFF2-40B4-BE49-F238E27FC236}">
              <a16:creationId xmlns:a16="http://schemas.microsoft.com/office/drawing/2014/main" id="{13B9D71B-9298-40B5-82D8-2134BEC1865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5A153259-17AD-457A-8B71-FF109BEDD35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C49920D4-28C2-4141-823D-B0A63331D35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5" name="TextBox 1">
          <a:extLst>
            <a:ext uri="{FF2B5EF4-FFF2-40B4-BE49-F238E27FC236}">
              <a16:creationId xmlns:a16="http://schemas.microsoft.com/office/drawing/2014/main" id="{2B5C583B-FF3E-4564-99A6-77179E455E6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6" name="TextBox 1">
          <a:extLst>
            <a:ext uri="{FF2B5EF4-FFF2-40B4-BE49-F238E27FC236}">
              <a16:creationId xmlns:a16="http://schemas.microsoft.com/office/drawing/2014/main" id="{C8FE4444-D5FF-41B4-9F0A-43A65E41EAC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38A5E985-3533-4C93-9503-5EC9387296D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4FC5B6CD-20F1-4386-AA4F-F9F7B244921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9" name="TextBox 1">
          <a:extLst>
            <a:ext uri="{FF2B5EF4-FFF2-40B4-BE49-F238E27FC236}">
              <a16:creationId xmlns:a16="http://schemas.microsoft.com/office/drawing/2014/main" id="{92DCAB7F-F6CD-43F1-92D6-0495FA3DB11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0" name="TextBox 1">
          <a:extLst>
            <a:ext uri="{FF2B5EF4-FFF2-40B4-BE49-F238E27FC236}">
              <a16:creationId xmlns:a16="http://schemas.microsoft.com/office/drawing/2014/main" id="{996B9033-69F8-40DB-8702-A80E468D387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0E73B90B-E7ED-4880-9063-BF128F581B8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9CE50B4A-4107-4B55-BFDE-E2AA90EBD16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3" name="TextBox 1">
          <a:extLst>
            <a:ext uri="{FF2B5EF4-FFF2-40B4-BE49-F238E27FC236}">
              <a16:creationId xmlns:a16="http://schemas.microsoft.com/office/drawing/2014/main" id="{CC79C461-9C72-446F-AE8C-EE808C8B345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4" name="TextBox 1">
          <a:extLst>
            <a:ext uri="{FF2B5EF4-FFF2-40B4-BE49-F238E27FC236}">
              <a16:creationId xmlns:a16="http://schemas.microsoft.com/office/drawing/2014/main" id="{7A75BF8A-E42A-4C1A-B092-A9D8842E239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A4AC3670-4331-45D3-B172-D5DDF831F99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16D33CB1-F802-4219-9D0B-731886665A9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7" name="TextBox 1">
          <a:extLst>
            <a:ext uri="{FF2B5EF4-FFF2-40B4-BE49-F238E27FC236}">
              <a16:creationId xmlns:a16="http://schemas.microsoft.com/office/drawing/2014/main" id="{3AD07F65-865E-42B7-90B0-FCDE283B833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8" name="TextBox 1">
          <a:extLst>
            <a:ext uri="{FF2B5EF4-FFF2-40B4-BE49-F238E27FC236}">
              <a16:creationId xmlns:a16="http://schemas.microsoft.com/office/drawing/2014/main" id="{B1A7B156-1D98-428E-ACF3-36D173AF764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147DD1D2-481A-4FA4-829A-EAD291401E7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9313FB8E-3851-45EC-B584-2F15457ED39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1" name="TextBox 1">
          <a:extLst>
            <a:ext uri="{FF2B5EF4-FFF2-40B4-BE49-F238E27FC236}">
              <a16:creationId xmlns:a16="http://schemas.microsoft.com/office/drawing/2014/main" id="{3D441492-3AB3-42EB-A00B-2FC3A1EE742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2" name="TextBox 1">
          <a:extLst>
            <a:ext uri="{FF2B5EF4-FFF2-40B4-BE49-F238E27FC236}">
              <a16:creationId xmlns:a16="http://schemas.microsoft.com/office/drawing/2014/main" id="{6C05B899-D3D9-45F7-9023-6E595A23B45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64719FAA-B687-40C0-B259-07B19A86DFE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620FEECA-EF91-48AF-A42F-CB221836AA5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303E1A33-818D-44C8-AC10-C206E462099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6" name="TextBox 1">
          <a:extLst>
            <a:ext uri="{FF2B5EF4-FFF2-40B4-BE49-F238E27FC236}">
              <a16:creationId xmlns:a16="http://schemas.microsoft.com/office/drawing/2014/main" id="{5C470869-351B-4036-8E3B-7C32A01F412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7" name="TextBox 1">
          <a:extLst>
            <a:ext uri="{FF2B5EF4-FFF2-40B4-BE49-F238E27FC236}">
              <a16:creationId xmlns:a16="http://schemas.microsoft.com/office/drawing/2014/main" id="{D69BF61A-0D3B-4911-BD47-7D41C23B5ED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8E4175D9-EC0F-4E80-9030-029E9C13F18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7BA3D938-33E6-4528-96B6-C9D1886C7E2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0" name="TextBox 1">
          <a:extLst>
            <a:ext uri="{FF2B5EF4-FFF2-40B4-BE49-F238E27FC236}">
              <a16:creationId xmlns:a16="http://schemas.microsoft.com/office/drawing/2014/main" id="{D83F557A-5263-4070-9297-3C1E0C09F48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1" name="TextBox 1">
          <a:extLst>
            <a:ext uri="{FF2B5EF4-FFF2-40B4-BE49-F238E27FC236}">
              <a16:creationId xmlns:a16="http://schemas.microsoft.com/office/drawing/2014/main" id="{2AC5A2FD-7DA9-405E-991D-BF87DA0E043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1590B240-E949-45DC-A2BA-F170DBBD708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EA63BC57-380F-47D8-B686-D938D22C604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4" name="TextBox 1">
          <a:extLst>
            <a:ext uri="{FF2B5EF4-FFF2-40B4-BE49-F238E27FC236}">
              <a16:creationId xmlns:a16="http://schemas.microsoft.com/office/drawing/2014/main" id="{4AB24B03-161E-4FD6-8D4B-EDA8C78D2D9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5" name="TextBox 1">
          <a:extLst>
            <a:ext uri="{FF2B5EF4-FFF2-40B4-BE49-F238E27FC236}">
              <a16:creationId xmlns:a16="http://schemas.microsoft.com/office/drawing/2014/main" id="{7E654C0A-68FA-426D-8FC6-9F9905F64B3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3D504DB4-F1F6-4291-9A40-45C87BB85D6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50E7C5C3-A34E-40CF-AE18-7357916CCD8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8" name="TextBox 1">
          <a:extLst>
            <a:ext uri="{FF2B5EF4-FFF2-40B4-BE49-F238E27FC236}">
              <a16:creationId xmlns:a16="http://schemas.microsoft.com/office/drawing/2014/main" id="{946F3F50-D9AC-4256-87E9-AC4C4496A18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9" name="TextBox 1">
          <a:extLst>
            <a:ext uri="{FF2B5EF4-FFF2-40B4-BE49-F238E27FC236}">
              <a16:creationId xmlns:a16="http://schemas.microsoft.com/office/drawing/2014/main" id="{05ACC42F-878A-4E2E-8DFA-CDAF1C30AB4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7F28D897-5C32-481D-95ED-8BB8399273B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3B2A9BA2-476E-49EE-8DED-5D38BC2D1B0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2" name="TextBox 1">
          <a:extLst>
            <a:ext uri="{FF2B5EF4-FFF2-40B4-BE49-F238E27FC236}">
              <a16:creationId xmlns:a16="http://schemas.microsoft.com/office/drawing/2014/main" id="{2688298F-0013-4487-AF29-4B76A9C5DC7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3" name="TextBox 1">
          <a:extLst>
            <a:ext uri="{FF2B5EF4-FFF2-40B4-BE49-F238E27FC236}">
              <a16:creationId xmlns:a16="http://schemas.microsoft.com/office/drawing/2014/main" id="{CFEEF0C7-6134-43E5-B8EC-980CC411A0F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555B5729-6C20-4157-9C9C-C2B6CB3386C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7F595C72-041E-4741-B61F-FFC8B0FA2FD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6" name="TextBox 1">
          <a:extLst>
            <a:ext uri="{FF2B5EF4-FFF2-40B4-BE49-F238E27FC236}">
              <a16:creationId xmlns:a16="http://schemas.microsoft.com/office/drawing/2014/main" id="{65459A00-C762-41EF-B685-8603058C9F8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7" name="TextBox 1">
          <a:extLst>
            <a:ext uri="{FF2B5EF4-FFF2-40B4-BE49-F238E27FC236}">
              <a16:creationId xmlns:a16="http://schemas.microsoft.com/office/drawing/2014/main" id="{55B1D0DB-E888-49D0-BC38-3A9F4B5D724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0D39C07A-AC47-4711-A378-95AAC39EB57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C70A9C2A-CC4D-4D06-8C50-07714AC6A99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0" name="TextBox 1">
          <a:extLst>
            <a:ext uri="{FF2B5EF4-FFF2-40B4-BE49-F238E27FC236}">
              <a16:creationId xmlns:a16="http://schemas.microsoft.com/office/drawing/2014/main" id="{E8CD6024-5A56-431E-8EEE-583552C59DE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1" name="TextBox 1">
          <a:extLst>
            <a:ext uri="{FF2B5EF4-FFF2-40B4-BE49-F238E27FC236}">
              <a16:creationId xmlns:a16="http://schemas.microsoft.com/office/drawing/2014/main" id="{97347BE1-ECBD-4D42-9EFF-8F907B28057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FB43C677-A048-459E-A0D6-93DD4F780B4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17DA9DB6-DDD1-4250-AFDC-049CEC787FA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4" name="TextBox 1">
          <a:extLst>
            <a:ext uri="{FF2B5EF4-FFF2-40B4-BE49-F238E27FC236}">
              <a16:creationId xmlns:a16="http://schemas.microsoft.com/office/drawing/2014/main" id="{2ACAB5C0-D0EF-401B-8FCD-8A906FB8B99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5" name="TextBox 1">
          <a:extLst>
            <a:ext uri="{FF2B5EF4-FFF2-40B4-BE49-F238E27FC236}">
              <a16:creationId xmlns:a16="http://schemas.microsoft.com/office/drawing/2014/main" id="{BF451557-2A06-42F1-90A3-59A6CCF5D07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B4F2ACF1-16CB-4E1A-B9D1-838E2E5CE63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8DB45D9F-16A8-4C29-A0F2-7E37FB1BE75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8" name="TextBox 1">
          <a:extLst>
            <a:ext uri="{FF2B5EF4-FFF2-40B4-BE49-F238E27FC236}">
              <a16:creationId xmlns:a16="http://schemas.microsoft.com/office/drawing/2014/main" id="{7F957F40-6235-4C69-B10E-4D12D7617A0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9" name="TextBox 1">
          <a:extLst>
            <a:ext uri="{FF2B5EF4-FFF2-40B4-BE49-F238E27FC236}">
              <a16:creationId xmlns:a16="http://schemas.microsoft.com/office/drawing/2014/main" id="{2E198F9A-E767-4FD6-9F66-7304813DA14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2A73DDFD-9B68-4094-B03C-0D71FCA4C41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A9638E87-4221-43D1-9A0F-29D1DF3B3BE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2" name="TextBox 1">
          <a:extLst>
            <a:ext uri="{FF2B5EF4-FFF2-40B4-BE49-F238E27FC236}">
              <a16:creationId xmlns:a16="http://schemas.microsoft.com/office/drawing/2014/main" id="{40B6B5F1-4E91-445C-8B03-F1F69B2B222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3" name="TextBox 1">
          <a:extLst>
            <a:ext uri="{FF2B5EF4-FFF2-40B4-BE49-F238E27FC236}">
              <a16:creationId xmlns:a16="http://schemas.microsoft.com/office/drawing/2014/main" id="{F30C63BF-8FAF-4167-8477-273462DBDB7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70868458-E604-4151-B2C8-12CBD247F82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A1CFB95E-D469-402E-AE17-D90B1FC768B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6" name="TextBox 1">
          <a:extLst>
            <a:ext uri="{FF2B5EF4-FFF2-40B4-BE49-F238E27FC236}">
              <a16:creationId xmlns:a16="http://schemas.microsoft.com/office/drawing/2014/main" id="{82E3EFE1-0803-4F44-9D51-467B95CC7A7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7" name="TextBox 1">
          <a:extLst>
            <a:ext uri="{FF2B5EF4-FFF2-40B4-BE49-F238E27FC236}">
              <a16:creationId xmlns:a16="http://schemas.microsoft.com/office/drawing/2014/main" id="{3D0EC52C-67B2-468C-ABFA-4F60498D5AD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DC0B8652-1674-49D6-865B-2FF92CF06B6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A2401F20-2C3A-4E40-84A9-B9A428A3223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EA222813-5A72-42DC-80F1-F47F58BB852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1" name="TextBox 1">
          <a:extLst>
            <a:ext uri="{FF2B5EF4-FFF2-40B4-BE49-F238E27FC236}">
              <a16:creationId xmlns:a16="http://schemas.microsoft.com/office/drawing/2014/main" id="{54F473BF-647A-4B91-ADCE-77A27774862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2" name="TextBox 1">
          <a:extLst>
            <a:ext uri="{FF2B5EF4-FFF2-40B4-BE49-F238E27FC236}">
              <a16:creationId xmlns:a16="http://schemas.microsoft.com/office/drawing/2014/main" id="{3E983E6A-2A9D-4497-AD2D-AA6D1741ED9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3A30DDDE-258D-475F-9777-2C196EC2073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AB7A7032-952E-4A3E-A4E8-4B6D5CDF2D3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5" name="TextBox 1">
          <a:extLst>
            <a:ext uri="{FF2B5EF4-FFF2-40B4-BE49-F238E27FC236}">
              <a16:creationId xmlns:a16="http://schemas.microsoft.com/office/drawing/2014/main" id="{A5F25F3E-4501-4F39-8CEC-46EB1DD07F4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6" name="TextBox 1">
          <a:extLst>
            <a:ext uri="{FF2B5EF4-FFF2-40B4-BE49-F238E27FC236}">
              <a16:creationId xmlns:a16="http://schemas.microsoft.com/office/drawing/2014/main" id="{C47C267C-C0C0-4B5D-A97D-3E4959FA364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26035A44-536A-4C88-BE8D-D501B88D66F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33FFFEBF-83EE-4F2F-8B3D-413B725281D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9" name="TextBox 1">
          <a:extLst>
            <a:ext uri="{FF2B5EF4-FFF2-40B4-BE49-F238E27FC236}">
              <a16:creationId xmlns:a16="http://schemas.microsoft.com/office/drawing/2014/main" id="{1A41C4C1-50BD-4008-8730-B791AE524F2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0" name="TextBox 1">
          <a:extLst>
            <a:ext uri="{FF2B5EF4-FFF2-40B4-BE49-F238E27FC236}">
              <a16:creationId xmlns:a16="http://schemas.microsoft.com/office/drawing/2014/main" id="{8F175C69-FE6E-49C1-AE88-0E8C1772C38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E5E0AA70-E8CC-46EE-A310-A3E24AF1673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11B94F8A-AF8A-4662-8C50-A3D8B0873BD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3" name="TextBox 1">
          <a:extLst>
            <a:ext uri="{FF2B5EF4-FFF2-40B4-BE49-F238E27FC236}">
              <a16:creationId xmlns:a16="http://schemas.microsoft.com/office/drawing/2014/main" id="{A749195E-B2DD-4DA4-A9E2-315900628B7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4" name="TextBox 1">
          <a:extLst>
            <a:ext uri="{FF2B5EF4-FFF2-40B4-BE49-F238E27FC236}">
              <a16:creationId xmlns:a16="http://schemas.microsoft.com/office/drawing/2014/main" id="{9E48340C-B693-437C-878E-4FC67499B5C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05F22145-B109-4904-9666-E06C1E816D7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79B08B7C-4B81-4FAE-BB67-08BBA1B02DA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7" name="TextBox 1">
          <a:extLst>
            <a:ext uri="{FF2B5EF4-FFF2-40B4-BE49-F238E27FC236}">
              <a16:creationId xmlns:a16="http://schemas.microsoft.com/office/drawing/2014/main" id="{170874FF-E733-44AA-8E16-0CA30E0E4ED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8" name="TextBox 1">
          <a:extLst>
            <a:ext uri="{FF2B5EF4-FFF2-40B4-BE49-F238E27FC236}">
              <a16:creationId xmlns:a16="http://schemas.microsoft.com/office/drawing/2014/main" id="{DF6BFCB1-1380-4DDE-B282-C8EB6984480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CFF77805-D6BE-4EC0-A3DE-76C8172A6D5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A495AC90-5811-40FE-84B9-8DCED772C5A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1" name="TextBox 1">
          <a:extLst>
            <a:ext uri="{FF2B5EF4-FFF2-40B4-BE49-F238E27FC236}">
              <a16:creationId xmlns:a16="http://schemas.microsoft.com/office/drawing/2014/main" id="{BB22F437-DDC7-4839-A030-9C84AC5CDDD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2" name="TextBox 1">
          <a:extLst>
            <a:ext uri="{FF2B5EF4-FFF2-40B4-BE49-F238E27FC236}">
              <a16:creationId xmlns:a16="http://schemas.microsoft.com/office/drawing/2014/main" id="{35ED4B82-055F-4AB1-8A64-EA85B105692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B3C4585A-C0B5-4A6B-AD38-86A1C3AA8CD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CF5B154F-3CF7-48BB-9EB2-AB5FAC74B66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5" name="TextBox 1">
          <a:extLst>
            <a:ext uri="{FF2B5EF4-FFF2-40B4-BE49-F238E27FC236}">
              <a16:creationId xmlns:a16="http://schemas.microsoft.com/office/drawing/2014/main" id="{1734E1C4-864E-467E-ACAC-42476C7DF5F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6" name="TextBox 1">
          <a:extLst>
            <a:ext uri="{FF2B5EF4-FFF2-40B4-BE49-F238E27FC236}">
              <a16:creationId xmlns:a16="http://schemas.microsoft.com/office/drawing/2014/main" id="{C3AE9D74-38AA-4AE3-A6DA-CDD33DE05B1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E0992431-4BEB-4D22-9FBF-4893BA124D1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40240D6E-8B50-4D4E-AB09-E94CF1A289A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9" name="TextBox 1">
          <a:extLst>
            <a:ext uri="{FF2B5EF4-FFF2-40B4-BE49-F238E27FC236}">
              <a16:creationId xmlns:a16="http://schemas.microsoft.com/office/drawing/2014/main" id="{8B9D6CD6-73B2-4799-9FA2-6AA88320B4D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0" name="TextBox 1">
          <a:extLst>
            <a:ext uri="{FF2B5EF4-FFF2-40B4-BE49-F238E27FC236}">
              <a16:creationId xmlns:a16="http://schemas.microsoft.com/office/drawing/2014/main" id="{6EF25B41-808E-4B87-B0A0-7DB5F6D48B8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67F0F957-E81D-4ADC-8597-2D53A18E90C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54158073-E6BD-426A-9F7A-9E5272A6B54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3" name="TextBox 1">
          <a:extLst>
            <a:ext uri="{FF2B5EF4-FFF2-40B4-BE49-F238E27FC236}">
              <a16:creationId xmlns:a16="http://schemas.microsoft.com/office/drawing/2014/main" id="{5D026FC9-9138-471C-907A-AC8500F8CA7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4" name="TextBox 1">
          <a:extLst>
            <a:ext uri="{FF2B5EF4-FFF2-40B4-BE49-F238E27FC236}">
              <a16:creationId xmlns:a16="http://schemas.microsoft.com/office/drawing/2014/main" id="{1EED1220-6381-41B9-A4A7-6A3BDAE142F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AED75075-A42C-4C84-90D9-78BF4F7D4D6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6" name="TextBox 1">
          <a:extLst>
            <a:ext uri="{FF2B5EF4-FFF2-40B4-BE49-F238E27FC236}">
              <a16:creationId xmlns:a16="http://schemas.microsoft.com/office/drawing/2014/main" id="{6567CBC2-609E-4B5C-9E57-7C0C932C766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7" name="TextBox 1">
          <a:extLst>
            <a:ext uri="{FF2B5EF4-FFF2-40B4-BE49-F238E27FC236}">
              <a16:creationId xmlns:a16="http://schemas.microsoft.com/office/drawing/2014/main" id="{D747B3EC-6868-4AD8-993A-7778687CF42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48E7F55D-B541-434A-8F19-85BD96C55B4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9" name="TextBox 1">
          <a:extLst>
            <a:ext uri="{FF2B5EF4-FFF2-40B4-BE49-F238E27FC236}">
              <a16:creationId xmlns:a16="http://schemas.microsoft.com/office/drawing/2014/main" id="{4243439C-BB8A-4D61-866D-EC5FF55E509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B22DB1B9-259A-46FB-B17E-041103007BA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1" name="TextBox 1">
          <a:extLst>
            <a:ext uri="{FF2B5EF4-FFF2-40B4-BE49-F238E27FC236}">
              <a16:creationId xmlns:a16="http://schemas.microsoft.com/office/drawing/2014/main" id="{A94360BE-369E-4782-A09B-1EDD39B1D11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2" name="TextBox 1">
          <a:extLst>
            <a:ext uri="{FF2B5EF4-FFF2-40B4-BE49-F238E27FC236}">
              <a16:creationId xmlns:a16="http://schemas.microsoft.com/office/drawing/2014/main" id="{69FF65C3-11A8-4BC5-8B33-73B980CEE47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E7B58B48-47E8-49CD-A48F-BA8CD796596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071BD1B1-CC61-4FC2-8FF1-154B339911D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5" name="TextBox 1">
          <a:extLst>
            <a:ext uri="{FF2B5EF4-FFF2-40B4-BE49-F238E27FC236}">
              <a16:creationId xmlns:a16="http://schemas.microsoft.com/office/drawing/2014/main" id="{84779F4B-BA44-4FF7-9BC5-BD13F9F3A0D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6" name="TextBox 1">
          <a:extLst>
            <a:ext uri="{FF2B5EF4-FFF2-40B4-BE49-F238E27FC236}">
              <a16:creationId xmlns:a16="http://schemas.microsoft.com/office/drawing/2014/main" id="{3FCFBCF1-CB06-44AF-A082-0E730CAE8E5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34BB19E5-DD20-4A54-AA33-9EEFF38E035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B4A7E809-F5EE-4D53-8929-C5272CDA3B0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10E9524E-75B9-483D-805F-F02D440272E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0" name="TextBox 1">
          <a:extLst>
            <a:ext uri="{FF2B5EF4-FFF2-40B4-BE49-F238E27FC236}">
              <a16:creationId xmlns:a16="http://schemas.microsoft.com/office/drawing/2014/main" id="{636DC8E6-055F-459B-A17F-FD36345BB99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1" name="TextBox 1">
          <a:extLst>
            <a:ext uri="{FF2B5EF4-FFF2-40B4-BE49-F238E27FC236}">
              <a16:creationId xmlns:a16="http://schemas.microsoft.com/office/drawing/2014/main" id="{00B15511-E37E-4C3E-97DF-D3FF538F25E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28551062-9683-4FBF-8207-CDC5D51428A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97F7C6E4-F65E-4702-BAAF-035568EA5BE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4" name="TextBox 1">
          <a:extLst>
            <a:ext uri="{FF2B5EF4-FFF2-40B4-BE49-F238E27FC236}">
              <a16:creationId xmlns:a16="http://schemas.microsoft.com/office/drawing/2014/main" id="{969208DC-011F-425B-B854-1F9FE3E71FF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5" name="TextBox 1">
          <a:extLst>
            <a:ext uri="{FF2B5EF4-FFF2-40B4-BE49-F238E27FC236}">
              <a16:creationId xmlns:a16="http://schemas.microsoft.com/office/drawing/2014/main" id="{545B957A-DD88-4C86-B9B9-FB636836414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E1103F1B-2224-4AC7-A580-B5DE8E939F0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0F6AF0ED-B70C-435A-A574-1A2A6109318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8" name="TextBox 1">
          <a:extLst>
            <a:ext uri="{FF2B5EF4-FFF2-40B4-BE49-F238E27FC236}">
              <a16:creationId xmlns:a16="http://schemas.microsoft.com/office/drawing/2014/main" id="{E513BC1B-DC72-48D5-AFF5-5BA63677B02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9" name="TextBox 1">
          <a:extLst>
            <a:ext uri="{FF2B5EF4-FFF2-40B4-BE49-F238E27FC236}">
              <a16:creationId xmlns:a16="http://schemas.microsoft.com/office/drawing/2014/main" id="{C21C1D55-98CA-4A3E-A068-4E57DE33131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0A6D4C6A-7A3F-4DDE-B3EC-2D67D9C90D3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6C7109A9-6FA3-4D03-A492-1B363B8016A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2" name="TextBox 1">
          <a:extLst>
            <a:ext uri="{FF2B5EF4-FFF2-40B4-BE49-F238E27FC236}">
              <a16:creationId xmlns:a16="http://schemas.microsoft.com/office/drawing/2014/main" id="{EDC3BA34-76BF-4A52-A9E3-99AF81DD4F5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3" name="TextBox 1">
          <a:extLst>
            <a:ext uri="{FF2B5EF4-FFF2-40B4-BE49-F238E27FC236}">
              <a16:creationId xmlns:a16="http://schemas.microsoft.com/office/drawing/2014/main" id="{E5CB2D41-F983-4DAA-8B13-7A08610AF02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B24C8072-4400-4BAA-BA05-5806DDE7C93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900B4F4D-1FBC-4E3D-99D9-9CD087812B1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6" name="TextBox 1">
          <a:extLst>
            <a:ext uri="{FF2B5EF4-FFF2-40B4-BE49-F238E27FC236}">
              <a16:creationId xmlns:a16="http://schemas.microsoft.com/office/drawing/2014/main" id="{785DEA00-4752-41A4-BAE4-9BD9739D292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7" name="TextBox 1">
          <a:extLst>
            <a:ext uri="{FF2B5EF4-FFF2-40B4-BE49-F238E27FC236}">
              <a16:creationId xmlns:a16="http://schemas.microsoft.com/office/drawing/2014/main" id="{39488A56-D724-42D3-AAA6-917C500348B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AA0247E1-D737-42D6-9370-93A31127818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1558600D-62F4-44A1-901E-4A70A91956D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0" name="TextBox 1">
          <a:extLst>
            <a:ext uri="{FF2B5EF4-FFF2-40B4-BE49-F238E27FC236}">
              <a16:creationId xmlns:a16="http://schemas.microsoft.com/office/drawing/2014/main" id="{09267AAB-60EA-449E-9FAB-2BA2E928FBE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1" name="TextBox 1">
          <a:extLst>
            <a:ext uri="{FF2B5EF4-FFF2-40B4-BE49-F238E27FC236}">
              <a16:creationId xmlns:a16="http://schemas.microsoft.com/office/drawing/2014/main" id="{C24BD78C-FB1F-4FCA-819E-01E8839D7EC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5C16CD7A-C8EF-45BF-818C-0AC7D575335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A2209413-0091-4E8A-BC05-4A7BFF66C30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4" name="TextBox 1">
          <a:extLst>
            <a:ext uri="{FF2B5EF4-FFF2-40B4-BE49-F238E27FC236}">
              <a16:creationId xmlns:a16="http://schemas.microsoft.com/office/drawing/2014/main" id="{966AF0AD-1CDE-4AF3-90AE-504614B0AFA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5" name="TextBox 1">
          <a:extLst>
            <a:ext uri="{FF2B5EF4-FFF2-40B4-BE49-F238E27FC236}">
              <a16:creationId xmlns:a16="http://schemas.microsoft.com/office/drawing/2014/main" id="{B541E563-5C32-48A1-8277-AC8815C5E6D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1D2BDE57-ED8D-4E1B-BE91-CD6B594E69F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4524E84C-B5CE-4DAD-933D-B8BCC897740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8" name="TextBox 1">
          <a:extLst>
            <a:ext uri="{FF2B5EF4-FFF2-40B4-BE49-F238E27FC236}">
              <a16:creationId xmlns:a16="http://schemas.microsoft.com/office/drawing/2014/main" id="{DE9AD436-F195-46D8-B049-A86840C3397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9" name="TextBox 1">
          <a:extLst>
            <a:ext uri="{FF2B5EF4-FFF2-40B4-BE49-F238E27FC236}">
              <a16:creationId xmlns:a16="http://schemas.microsoft.com/office/drawing/2014/main" id="{5FB98A30-7D4C-46CE-82DA-F85E44263D2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96E7199C-8E11-41B0-8C0B-7C25ED58C8D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F60B7A06-E183-4740-BD57-2AC6C7A787E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2" name="TextBox 1">
          <a:extLst>
            <a:ext uri="{FF2B5EF4-FFF2-40B4-BE49-F238E27FC236}">
              <a16:creationId xmlns:a16="http://schemas.microsoft.com/office/drawing/2014/main" id="{49AEC5DE-7585-45CE-85ED-CFEE6CE3E58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3" name="TextBox 1">
          <a:extLst>
            <a:ext uri="{FF2B5EF4-FFF2-40B4-BE49-F238E27FC236}">
              <a16:creationId xmlns:a16="http://schemas.microsoft.com/office/drawing/2014/main" id="{77D50EEF-C227-468F-8648-F7BA41EC314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77092A66-C4C4-4F34-B9D8-2146C31E8A4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A6C7E14B-545B-470A-9576-89240DDF611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71FA692D-DE63-4279-859A-0B87044D6CC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7" name="TextBox 1">
          <a:extLst>
            <a:ext uri="{FF2B5EF4-FFF2-40B4-BE49-F238E27FC236}">
              <a16:creationId xmlns:a16="http://schemas.microsoft.com/office/drawing/2014/main" id="{3907D2DD-2ABF-4A02-A984-8EC2291FB73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8" name="TextBox 1">
          <a:extLst>
            <a:ext uri="{FF2B5EF4-FFF2-40B4-BE49-F238E27FC236}">
              <a16:creationId xmlns:a16="http://schemas.microsoft.com/office/drawing/2014/main" id="{AF2B1C13-9662-4641-81CA-1AEC7DD1596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0BEF6D06-6115-4DC1-8293-A40B33727F7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3238C05D-C04A-4B88-9A53-CC75B090E78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1" name="TextBox 1">
          <a:extLst>
            <a:ext uri="{FF2B5EF4-FFF2-40B4-BE49-F238E27FC236}">
              <a16:creationId xmlns:a16="http://schemas.microsoft.com/office/drawing/2014/main" id="{76D9CFF8-1F26-473E-BCCD-06D262FB1B7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2" name="TextBox 1">
          <a:extLst>
            <a:ext uri="{FF2B5EF4-FFF2-40B4-BE49-F238E27FC236}">
              <a16:creationId xmlns:a16="http://schemas.microsoft.com/office/drawing/2014/main" id="{F1A59EB8-EA28-4112-AC0F-9C10CFBC93F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AF6354B2-20D5-4F11-A244-505562D8E08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A57A72F3-29BD-4410-9FE3-F383D5DC961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5" name="TextBox 1">
          <a:extLst>
            <a:ext uri="{FF2B5EF4-FFF2-40B4-BE49-F238E27FC236}">
              <a16:creationId xmlns:a16="http://schemas.microsoft.com/office/drawing/2014/main" id="{E07662AB-63CC-4E26-B00B-D2770C34902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6" name="TextBox 1">
          <a:extLst>
            <a:ext uri="{FF2B5EF4-FFF2-40B4-BE49-F238E27FC236}">
              <a16:creationId xmlns:a16="http://schemas.microsoft.com/office/drawing/2014/main" id="{084E0B92-1C77-480D-909F-A4AF6F7BF2A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19341023-AFB6-442B-A45A-1E6F3F2443F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B356BAAE-6025-453D-BAEA-02BF8FCF946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9" name="TextBox 1">
          <a:extLst>
            <a:ext uri="{FF2B5EF4-FFF2-40B4-BE49-F238E27FC236}">
              <a16:creationId xmlns:a16="http://schemas.microsoft.com/office/drawing/2014/main" id="{3598725A-F775-4165-9B28-C0E2DB97B57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0" name="TextBox 1">
          <a:extLst>
            <a:ext uri="{FF2B5EF4-FFF2-40B4-BE49-F238E27FC236}">
              <a16:creationId xmlns:a16="http://schemas.microsoft.com/office/drawing/2014/main" id="{C95760D3-52E0-40C2-A7BC-EAAF52E7AEB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7096B6FD-9D81-4980-8248-B6930F9889B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3B0489F4-7361-4821-8514-0EBCDDE7A04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3" name="TextBox 1">
          <a:extLst>
            <a:ext uri="{FF2B5EF4-FFF2-40B4-BE49-F238E27FC236}">
              <a16:creationId xmlns:a16="http://schemas.microsoft.com/office/drawing/2014/main" id="{6BD4F7A8-D29F-4947-AA1A-EBA2E380BF6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4" name="TextBox 1">
          <a:extLst>
            <a:ext uri="{FF2B5EF4-FFF2-40B4-BE49-F238E27FC236}">
              <a16:creationId xmlns:a16="http://schemas.microsoft.com/office/drawing/2014/main" id="{D74364FE-1BDC-4A23-BE98-86EFB1F3069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7676D310-C034-4669-BD4C-C05A3F1ACE1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A9495B48-E29C-4084-986B-A50FCA701AC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7" name="TextBox 1">
          <a:extLst>
            <a:ext uri="{FF2B5EF4-FFF2-40B4-BE49-F238E27FC236}">
              <a16:creationId xmlns:a16="http://schemas.microsoft.com/office/drawing/2014/main" id="{07C5E3C6-D0CA-4B5E-A726-BDBB6E3CD6E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8" name="TextBox 1">
          <a:extLst>
            <a:ext uri="{FF2B5EF4-FFF2-40B4-BE49-F238E27FC236}">
              <a16:creationId xmlns:a16="http://schemas.microsoft.com/office/drawing/2014/main" id="{90DD6044-15AC-4BFE-805F-15C57AE7E0F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CA157746-F08F-423A-868C-0F476ACDE37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4D16A453-E819-4572-BCF3-D0486FEA725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1" name="TextBox 1">
          <a:extLst>
            <a:ext uri="{FF2B5EF4-FFF2-40B4-BE49-F238E27FC236}">
              <a16:creationId xmlns:a16="http://schemas.microsoft.com/office/drawing/2014/main" id="{C95CFD70-AEA5-4E57-9F0C-6D439744BE5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2" name="TextBox 1">
          <a:extLst>
            <a:ext uri="{FF2B5EF4-FFF2-40B4-BE49-F238E27FC236}">
              <a16:creationId xmlns:a16="http://schemas.microsoft.com/office/drawing/2014/main" id="{9E3F2004-EACE-4134-918D-131A8FC0574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53EF4D31-D55F-4BA6-A43B-BB6C76C6F90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6C3A40D0-6864-4F89-B88A-6BCE3C26D21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5" name="TextBox 1">
          <a:extLst>
            <a:ext uri="{FF2B5EF4-FFF2-40B4-BE49-F238E27FC236}">
              <a16:creationId xmlns:a16="http://schemas.microsoft.com/office/drawing/2014/main" id="{DC7A8D4B-3179-40A2-837D-C258810A8D4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6" name="TextBox 1">
          <a:extLst>
            <a:ext uri="{FF2B5EF4-FFF2-40B4-BE49-F238E27FC236}">
              <a16:creationId xmlns:a16="http://schemas.microsoft.com/office/drawing/2014/main" id="{99BFEFFC-8ECB-4227-BB89-FDDCAF987BB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4C734DE5-859E-4279-B76E-ECF0192D2A6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FC7705A6-1374-437C-93EE-9559D0216B1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9" name="TextBox 1">
          <a:extLst>
            <a:ext uri="{FF2B5EF4-FFF2-40B4-BE49-F238E27FC236}">
              <a16:creationId xmlns:a16="http://schemas.microsoft.com/office/drawing/2014/main" id="{F9EDC69C-0EB0-4B85-8E3C-F74B1C0ADA8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0" name="TextBox 1">
          <a:extLst>
            <a:ext uri="{FF2B5EF4-FFF2-40B4-BE49-F238E27FC236}">
              <a16:creationId xmlns:a16="http://schemas.microsoft.com/office/drawing/2014/main" id="{3A260EB6-DE3F-4B49-9F0A-6A1F3D84646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E47DF48A-388A-4D9F-BE24-4714AC82821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E59AE05B-62F9-4AA3-93B5-95878BDAEA1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3" name="TextBox 1">
          <a:extLst>
            <a:ext uri="{FF2B5EF4-FFF2-40B4-BE49-F238E27FC236}">
              <a16:creationId xmlns:a16="http://schemas.microsoft.com/office/drawing/2014/main" id="{877042D4-58D8-4A8A-A73B-37E20082D89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4" name="TextBox 1">
          <a:extLst>
            <a:ext uri="{FF2B5EF4-FFF2-40B4-BE49-F238E27FC236}">
              <a16:creationId xmlns:a16="http://schemas.microsoft.com/office/drawing/2014/main" id="{9ED22407-E292-4A6B-A5A6-9F8AE0C87FD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D175B829-0C20-4D90-A31A-7BBFECA5E83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2673BF0B-B87F-4859-BCFF-467BACC8787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7" name="TextBox 1">
          <a:extLst>
            <a:ext uri="{FF2B5EF4-FFF2-40B4-BE49-F238E27FC236}">
              <a16:creationId xmlns:a16="http://schemas.microsoft.com/office/drawing/2014/main" id="{87AF5065-0D7C-4C93-A42E-5F04B511538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8" name="TextBox 1">
          <a:extLst>
            <a:ext uri="{FF2B5EF4-FFF2-40B4-BE49-F238E27FC236}">
              <a16:creationId xmlns:a16="http://schemas.microsoft.com/office/drawing/2014/main" id="{14225A3F-C315-4FC0-B1F4-02B16D670DC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341FC63E-6B15-412C-A850-B5B5073BA5C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51AC4ADE-F6B1-4824-ADE8-E889FCE8171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4947418D-00BA-4C7D-ACDA-0B42CF4F59A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2" name="TextBox 1">
          <a:extLst>
            <a:ext uri="{FF2B5EF4-FFF2-40B4-BE49-F238E27FC236}">
              <a16:creationId xmlns:a16="http://schemas.microsoft.com/office/drawing/2014/main" id="{0EFEA522-2A6D-43B2-9317-70CE9E84BFB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3" name="TextBox 1">
          <a:extLst>
            <a:ext uri="{FF2B5EF4-FFF2-40B4-BE49-F238E27FC236}">
              <a16:creationId xmlns:a16="http://schemas.microsoft.com/office/drawing/2014/main" id="{F727154C-772E-4201-9E03-2D83434892A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500C6B2D-E292-45FD-87E3-044297E0374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DCC53EC7-6B1D-435C-AAED-51DC38F6A6B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6" name="TextBox 1">
          <a:extLst>
            <a:ext uri="{FF2B5EF4-FFF2-40B4-BE49-F238E27FC236}">
              <a16:creationId xmlns:a16="http://schemas.microsoft.com/office/drawing/2014/main" id="{1C533BF6-82C6-41AD-BE6D-E0ADBDFD84D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7" name="TextBox 1">
          <a:extLst>
            <a:ext uri="{FF2B5EF4-FFF2-40B4-BE49-F238E27FC236}">
              <a16:creationId xmlns:a16="http://schemas.microsoft.com/office/drawing/2014/main" id="{78B4F441-5624-42A1-9072-616646BA300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131AB378-309C-4CEA-A1D1-F1FBA77B191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53554849-842C-4AFE-A56F-0333EE3B341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0" name="TextBox 1">
          <a:extLst>
            <a:ext uri="{FF2B5EF4-FFF2-40B4-BE49-F238E27FC236}">
              <a16:creationId xmlns:a16="http://schemas.microsoft.com/office/drawing/2014/main" id="{EBC30C41-69AF-4BA2-BB30-598DD957B7C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1" name="TextBox 1">
          <a:extLst>
            <a:ext uri="{FF2B5EF4-FFF2-40B4-BE49-F238E27FC236}">
              <a16:creationId xmlns:a16="http://schemas.microsoft.com/office/drawing/2014/main" id="{2BE979F7-B8B1-4476-A06E-EC05282DDB2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8028DBD5-3EF8-4034-870E-8B790A1F568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FBB858A9-6886-4294-BEAA-1AD22A476EF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4" name="TextBox 1">
          <a:extLst>
            <a:ext uri="{FF2B5EF4-FFF2-40B4-BE49-F238E27FC236}">
              <a16:creationId xmlns:a16="http://schemas.microsoft.com/office/drawing/2014/main" id="{36654373-1CAB-4A9B-8C0B-028A2064371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5" name="TextBox 1">
          <a:extLst>
            <a:ext uri="{FF2B5EF4-FFF2-40B4-BE49-F238E27FC236}">
              <a16:creationId xmlns:a16="http://schemas.microsoft.com/office/drawing/2014/main" id="{8622FB88-2E08-49C0-B06A-A7C1E0EE3DD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158470C9-404C-409B-9C8A-725A1A0F09D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8E947932-9D0A-4B1C-99C4-A3938400673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8" name="TextBox 1">
          <a:extLst>
            <a:ext uri="{FF2B5EF4-FFF2-40B4-BE49-F238E27FC236}">
              <a16:creationId xmlns:a16="http://schemas.microsoft.com/office/drawing/2014/main" id="{B2EC06B7-554B-424A-B804-D8485D885B2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9" name="TextBox 1">
          <a:extLst>
            <a:ext uri="{FF2B5EF4-FFF2-40B4-BE49-F238E27FC236}">
              <a16:creationId xmlns:a16="http://schemas.microsoft.com/office/drawing/2014/main" id="{A56AB25C-6CB4-4C28-8D23-4EB07EABF1E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A6BDEACF-642D-44AA-AA43-1F6D0F0F82C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5E74A1E1-8FE7-4064-8858-A8CF34BC59D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2" name="TextBox 1">
          <a:extLst>
            <a:ext uri="{FF2B5EF4-FFF2-40B4-BE49-F238E27FC236}">
              <a16:creationId xmlns:a16="http://schemas.microsoft.com/office/drawing/2014/main" id="{FB68AECD-60D7-4880-BF77-30D4BAA952F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3" name="TextBox 1">
          <a:extLst>
            <a:ext uri="{FF2B5EF4-FFF2-40B4-BE49-F238E27FC236}">
              <a16:creationId xmlns:a16="http://schemas.microsoft.com/office/drawing/2014/main" id="{CD496F42-0823-4B0D-9E00-B51BB3CC01C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A7761698-6B80-4BA2-A98C-961F7B8D7C2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7C60F90E-5D5F-4548-961C-CC7E1D2B7AE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6" name="TextBox 1">
          <a:extLst>
            <a:ext uri="{FF2B5EF4-FFF2-40B4-BE49-F238E27FC236}">
              <a16:creationId xmlns:a16="http://schemas.microsoft.com/office/drawing/2014/main" id="{944F159C-DA89-4574-8953-4FB4B1CDB6E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7" name="TextBox 1">
          <a:extLst>
            <a:ext uri="{FF2B5EF4-FFF2-40B4-BE49-F238E27FC236}">
              <a16:creationId xmlns:a16="http://schemas.microsoft.com/office/drawing/2014/main" id="{580EE95C-2EE4-49A0-82ED-7EDB9771037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615F6A97-583A-46F0-ABAE-80A678FEF29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A0A96269-420A-4C8C-90A2-D58E3E54166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0" name="TextBox 1">
          <a:extLst>
            <a:ext uri="{FF2B5EF4-FFF2-40B4-BE49-F238E27FC236}">
              <a16:creationId xmlns:a16="http://schemas.microsoft.com/office/drawing/2014/main" id="{8D2DEFA6-B205-4936-8B6A-1129E401C71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1" name="TextBox 1">
          <a:extLst>
            <a:ext uri="{FF2B5EF4-FFF2-40B4-BE49-F238E27FC236}">
              <a16:creationId xmlns:a16="http://schemas.microsoft.com/office/drawing/2014/main" id="{CDFE1597-5326-4332-9EBD-14883085023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74590FBA-C8C2-4DE3-9191-51A628C6A25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B1D1DFE8-93AB-4513-92B3-BEACA3159AA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4" name="TextBox 1">
          <a:extLst>
            <a:ext uri="{FF2B5EF4-FFF2-40B4-BE49-F238E27FC236}">
              <a16:creationId xmlns:a16="http://schemas.microsoft.com/office/drawing/2014/main" id="{8C0FD95F-8F85-4C6D-81D3-686DB83B5F8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5" name="TextBox 1">
          <a:extLst>
            <a:ext uri="{FF2B5EF4-FFF2-40B4-BE49-F238E27FC236}">
              <a16:creationId xmlns:a16="http://schemas.microsoft.com/office/drawing/2014/main" id="{C8A3A97C-1232-4DF0-A4A1-7434A376D29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3C031965-1AF1-4377-8334-C02470D5675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7" name="TextBox 1">
          <a:extLst>
            <a:ext uri="{FF2B5EF4-FFF2-40B4-BE49-F238E27FC236}">
              <a16:creationId xmlns:a16="http://schemas.microsoft.com/office/drawing/2014/main" id="{1C1F0EC4-8C6D-4BD6-AF33-9CF0A1D9D7A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8" name="TextBox 1">
          <a:extLst>
            <a:ext uri="{FF2B5EF4-FFF2-40B4-BE49-F238E27FC236}">
              <a16:creationId xmlns:a16="http://schemas.microsoft.com/office/drawing/2014/main" id="{B6F51A6D-8F62-4625-92C8-4CBC1DE80E1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7898454B-5B75-41E8-AD5D-4EB2820813B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0" name="TextBox 1">
          <a:extLst>
            <a:ext uri="{FF2B5EF4-FFF2-40B4-BE49-F238E27FC236}">
              <a16:creationId xmlns:a16="http://schemas.microsoft.com/office/drawing/2014/main" id="{FB5743BB-D0B3-4B37-919E-AE90872837E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6BAEF247-C81C-4E4E-8409-C2121361726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2" name="TextBox 1">
          <a:extLst>
            <a:ext uri="{FF2B5EF4-FFF2-40B4-BE49-F238E27FC236}">
              <a16:creationId xmlns:a16="http://schemas.microsoft.com/office/drawing/2014/main" id="{F7A2AC58-FAA4-4149-A8DB-C8C1C0E4F99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3" name="TextBox 1">
          <a:extLst>
            <a:ext uri="{FF2B5EF4-FFF2-40B4-BE49-F238E27FC236}">
              <a16:creationId xmlns:a16="http://schemas.microsoft.com/office/drawing/2014/main" id="{B02440A0-A2D1-4EE7-80F5-BF24BD33292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94D38574-A0A9-4010-9D5C-5E99AD26BF6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31DB68A7-60FE-495C-AE6B-F97AF15867E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6" name="TextBox 1">
          <a:extLst>
            <a:ext uri="{FF2B5EF4-FFF2-40B4-BE49-F238E27FC236}">
              <a16:creationId xmlns:a16="http://schemas.microsoft.com/office/drawing/2014/main" id="{90CAB38F-191B-4723-93A7-8177F9BBAD8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7" name="TextBox 1">
          <a:extLst>
            <a:ext uri="{FF2B5EF4-FFF2-40B4-BE49-F238E27FC236}">
              <a16:creationId xmlns:a16="http://schemas.microsoft.com/office/drawing/2014/main" id="{44716454-9F9D-49E5-A7AE-AEF1F86D27F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C8560AD2-14AF-4C6D-ADBD-F1EB7A8A204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2EEBA61C-7EBC-4EA0-A017-73BAFCA6129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DD7883B7-9E78-4B7E-86FE-812EC99AFFF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1" name="TextBox 1">
          <a:extLst>
            <a:ext uri="{FF2B5EF4-FFF2-40B4-BE49-F238E27FC236}">
              <a16:creationId xmlns:a16="http://schemas.microsoft.com/office/drawing/2014/main" id="{440D29F7-5668-4312-8CE2-C0E35E860B6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2" name="TextBox 1">
          <a:extLst>
            <a:ext uri="{FF2B5EF4-FFF2-40B4-BE49-F238E27FC236}">
              <a16:creationId xmlns:a16="http://schemas.microsoft.com/office/drawing/2014/main" id="{A1F9EE67-D9D6-49C7-AC7E-F95657DDE5F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CF189455-9FD7-44DA-B6AC-1117522DD08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E8E7D27F-8F8A-495F-A644-E85C49A6AE9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5" name="TextBox 1">
          <a:extLst>
            <a:ext uri="{FF2B5EF4-FFF2-40B4-BE49-F238E27FC236}">
              <a16:creationId xmlns:a16="http://schemas.microsoft.com/office/drawing/2014/main" id="{5167552F-98C8-41C0-8788-5CC0DF5A6B4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6" name="TextBox 1">
          <a:extLst>
            <a:ext uri="{FF2B5EF4-FFF2-40B4-BE49-F238E27FC236}">
              <a16:creationId xmlns:a16="http://schemas.microsoft.com/office/drawing/2014/main" id="{04307571-CE70-4CD7-AB18-9374521A20B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A0001931-62DC-47A6-B12A-E86F5DD1AC5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F3418D89-7F55-4906-AED2-DD0665925B6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9" name="TextBox 1">
          <a:extLst>
            <a:ext uri="{FF2B5EF4-FFF2-40B4-BE49-F238E27FC236}">
              <a16:creationId xmlns:a16="http://schemas.microsoft.com/office/drawing/2014/main" id="{6C31303B-A0FE-4904-9A17-120C4C21D4A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0" name="TextBox 1">
          <a:extLst>
            <a:ext uri="{FF2B5EF4-FFF2-40B4-BE49-F238E27FC236}">
              <a16:creationId xmlns:a16="http://schemas.microsoft.com/office/drawing/2014/main" id="{17DD341D-8F7C-487F-B2B1-A9A5EC8CE90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C91483D6-9B5A-4BEA-B45A-DCF485D0589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864A01F3-28E0-4D03-A775-F50278BFD34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3" name="TextBox 1">
          <a:extLst>
            <a:ext uri="{FF2B5EF4-FFF2-40B4-BE49-F238E27FC236}">
              <a16:creationId xmlns:a16="http://schemas.microsoft.com/office/drawing/2014/main" id="{B4EF865A-94CA-4FDA-A7A2-B88FBC09C73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4" name="TextBox 1">
          <a:extLst>
            <a:ext uri="{FF2B5EF4-FFF2-40B4-BE49-F238E27FC236}">
              <a16:creationId xmlns:a16="http://schemas.microsoft.com/office/drawing/2014/main" id="{E9F9FF38-763A-4FF6-9160-B5066DFC0AD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9AA43556-94F2-4682-849C-9DF657BF151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3EEF3013-BE4F-4D4E-9E21-C4C1D84F5F6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7" name="TextBox 1">
          <a:extLst>
            <a:ext uri="{FF2B5EF4-FFF2-40B4-BE49-F238E27FC236}">
              <a16:creationId xmlns:a16="http://schemas.microsoft.com/office/drawing/2014/main" id="{94DA87AC-A828-4AFB-8496-4EBA6088E16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8" name="TextBox 1">
          <a:extLst>
            <a:ext uri="{FF2B5EF4-FFF2-40B4-BE49-F238E27FC236}">
              <a16:creationId xmlns:a16="http://schemas.microsoft.com/office/drawing/2014/main" id="{81841050-DD97-4763-95BA-F266E0AB7EE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ADF4EDC0-D83A-47DE-AB8D-381D3547A25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42B39736-1088-4E3F-91E8-61979F89BEE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1" name="TextBox 1">
          <a:extLst>
            <a:ext uri="{FF2B5EF4-FFF2-40B4-BE49-F238E27FC236}">
              <a16:creationId xmlns:a16="http://schemas.microsoft.com/office/drawing/2014/main" id="{CB7F8485-2B6F-41A4-9BD6-A717B091F84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2" name="TextBox 1">
          <a:extLst>
            <a:ext uri="{FF2B5EF4-FFF2-40B4-BE49-F238E27FC236}">
              <a16:creationId xmlns:a16="http://schemas.microsoft.com/office/drawing/2014/main" id="{61A1CFAB-93CB-4FB8-BFBF-835E58EB949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62A24A84-1B52-46BF-82F2-3BE3E48C429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7717D795-1A7F-4349-9E6F-DA72BCC9760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5" name="TextBox 1">
          <a:extLst>
            <a:ext uri="{FF2B5EF4-FFF2-40B4-BE49-F238E27FC236}">
              <a16:creationId xmlns:a16="http://schemas.microsoft.com/office/drawing/2014/main" id="{22205D52-DD60-4684-906B-7D8E30FB9DC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6" name="TextBox 1">
          <a:extLst>
            <a:ext uri="{FF2B5EF4-FFF2-40B4-BE49-F238E27FC236}">
              <a16:creationId xmlns:a16="http://schemas.microsoft.com/office/drawing/2014/main" id="{E34DAE65-A837-4D9F-9E5B-55A12406BD4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9DD48E8D-9239-45DD-AF4D-E97E0F5D2AC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CA1EE3CD-E9A5-4A85-972A-0890CA92AB2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9" name="TextBox 1">
          <a:extLst>
            <a:ext uri="{FF2B5EF4-FFF2-40B4-BE49-F238E27FC236}">
              <a16:creationId xmlns:a16="http://schemas.microsoft.com/office/drawing/2014/main" id="{416537F2-6F50-4497-AB21-FD63413A3AC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0" name="TextBox 1">
          <a:extLst>
            <a:ext uri="{FF2B5EF4-FFF2-40B4-BE49-F238E27FC236}">
              <a16:creationId xmlns:a16="http://schemas.microsoft.com/office/drawing/2014/main" id="{502E1572-8B4D-477A-8678-318870BE786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7068C740-C640-4DE3-B047-4F331B52380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487A60D7-6842-4510-B56D-6AA052009F8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3" name="TextBox 1">
          <a:extLst>
            <a:ext uri="{FF2B5EF4-FFF2-40B4-BE49-F238E27FC236}">
              <a16:creationId xmlns:a16="http://schemas.microsoft.com/office/drawing/2014/main" id="{81A7450F-BAE1-4980-9F63-E9DCBE6C5D0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4" name="TextBox 1">
          <a:extLst>
            <a:ext uri="{FF2B5EF4-FFF2-40B4-BE49-F238E27FC236}">
              <a16:creationId xmlns:a16="http://schemas.microsoft.com/office/drawing/2014/main" id="{35CFBD92-235D-4DAE-B7CD-B90F6FDC658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CA10B268-2912-46E9-8A19-F8442FDE71C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222B5DC7-587A-437C-ABB0-B5B5F8D26CE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ACBEAFCF-46AD-46F7-97F4-2B9D15E2342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8" name="TextBox 1">
          <a:extLst>
            <a:ext uri="{FF2B5EF4-FFF2-40B4-BE49-F238E27FC236}">
              <a16:creationId xmlns:a16="http://schemas.microsoft.com/office/drawing/2014/main" id="{0FC4D7D4-5C7E-417D-9A4A-3E4BAD3B01F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9" name="TextBox 1">
          <a:extLst>
            <a:ext uri="{FF2B5EF4-FFF2-40B4-BE49-F238E27FC236}">
              <a16:creationId xmlns:a16="http://schemas.microsoft.com/office/drawing/2014/main" id="{277330BD-B659-41A6-B07E-C60726709A2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4A663F51-773D-40C3-AE9C-755D346D9E3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EC8E983A-2C8E-449E-ADA3-F60730D8EA3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2" name="TextBox 1">
          <a:extLst>
            <a:ext uri="{FF2B5EF4-FFF2-40B4-BE49-F238E27FC236}">
              <a16:creationId xmlns:a16="http://schemas.microsoft.com/office/drawing/2014/main" id="{27643063-0DE7-42CB-A42F-FE5A08827BC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3" name="TextBox 1">
          <a:extLst>
            <a:ext uri="{FF2B5EF4-FFF2-40B4-BE49-F238E27FC236}">
              <a16:creationId xmlns:a16="http://schemas.microsoft.com/office/drawing/2014/main" id="{F3E10625-7B8B-4575-8D57-33DF7C94DBC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F3F5BFAD-CF73-465C-B8A5-2A49714D804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85BE9303-B965-4E04-B633-22FF4DBB22D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6" name="TextBox 1">
          <a:extLst>
            <a:ext uri="{FF2B5EF4-FFF2-40B4-BE49-F238E27FC236}">
              <a16:creationId xmlns:a16="http://schemas.microsoft.com/office/drawing/2014/main" id="{DB967D4F-7776-48BC-BB83-A1803EDC5A5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7" name="TextBox 1">
          <a:extLst>
            <a:ext uri="{FF2B5EF4-FFF2-40B4-BE49-F238E27FC236}">
              <a16:creationId xmlns:a16="http://schemas.microsoft.com/office/drawing/2014/main" id="{C7E7FEF8-0B1E-4160-9201-B59CE143549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70BFD57F-5C7D-433E-A1FA-0327C6AD4DC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12515C68-02E8-47C4-B9A0-BFA4CAC36B3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0" name="TextBox 1">
          <a:extLst>
            <a:ext uri="{FF2B5EF4-FFF2-40B4-BE49-F238E27FC236}">
              <a16:creationId xmlns:a16="http://schemas.microsoft.com/office/drawing/2014/main" id="{FB18A3F1-A24F-4ACC-89F3-FCBE69CE74F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1" name="TextBox 1">
          <a:extLst>
            <a:ext uri="{FF2B5EF4-FFF2-40B4-BE49-F238E27FC236}">
              <a16:creationId xmlns:a16="http://schemas.microsoft.com/office/drawing/2014/main" id="{20B4F387-7281-45C2-8F35-AC389563F79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A211A7B6-58A2-46FC-BEBB-401A44C58CC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72A732B2-215B-49D8-AAF5-F8F235388E8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4" name="TextBox 1">
          <a:extLst>
            <a:ext uri="{FF2B5EF4-FFF2-40B4-BE49-F238E27FC236}">
              <a16:creationId xmlns:a16="http://schemas.microsoft.com/office/drawing/2014/main" id="{062819DD-D647-4698-8A5C-407CC583C18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5" name="TextBox 1">
          <a:extLst>
            <a:ext uri="{FF2B5EF4-FFF2-40B4-BE49-F238E27FC236}">
              <a16:creationId xmlns:a16="http://schemas.microsoft.com/office/drawing/2014/main" id="{DCC9AA8A-5683-4BA7-865E-3BED933A5AD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3DC9DC93-8C13-4DF6-9F10-478086A3D99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B4BDFE6D-9D59-48F6-BF6F-C654A2405C2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8" name="TextBox 1">
          <a:extLst>
            <a:ext uri="{FF2B5EF4-FFF2-40B4-BE49-F238E27FC236}">
              <a16:creationId xmlns:a16="http://schemas.microsoft.com/office/drawing/2014/main" id="{A62330B7-2BD7-4296-847D-14C35479968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9" name="TextBox 1">
          <a:extLst>
            <a:ext uri="{FF2B5EF4-FFF2-40B4-BE49-F238E27FC236}">
              <a16:creationId xmlns:a16="http://schemas.microsoft.com/office/drawing/2014/main" id="{3097DEA3-833F-4F8E-8648-95FAB166266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C9B09364-A788-4AA0-BED0-23CC3B731C6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7F5E17A7-A451-4FCF-85D9-E5E3B587979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2" name="TextBox 1">
          <a:extLst>
            <a:ext uri="{FF2B5EF4-FFF2-40B4-BE49-F238E27FC236}">
              <a16:creationId xmlns:a16="http://schemas.microsoft.com/office/drawing/2014/main" id="{7652EA8B-D17D-4B78-A9F2-34A0861329E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3" name="TextBox 1">
          <a:extLst>
            <a:ext uri="{FF2B5EF4-FFF2-40B4-BE49-F238E27FC236}">
              <a16:creationId xmlns:a16="http://schemas.microsoft.com/office/drawing/2014/main" id="{FC0179DD-4C5B-49C9-87EA-2A136633B5A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63276368-E8B9-4BBA-A895-BF720BA55B4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869D76B6-5442-45C2-AA52-02DC3F44317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6" name="TextBox 1">
          <a:extLst>
            <a:ext uri="{FF2B5EF4-FFF2-40B4-BE49-F238E27FC236}">
              <a16:creationId xmlns:a16="http://schemas.microsoft.com/office/drawing/2014/main" id="{BD2A6CC9-5AD5-4BB3-A8B9-4FD7CBFB1C6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7" name="TextBox 1">
          <a:extLst>
            <a:ext uri="{FF2B5EF4-FFF2-40B4-BE49-F238E27FC236}">
              <a16:creationId xmlns:a16="http://schemas.microsoft.com/office/drawing/2014/main" id="{979FA01C-8FA9-405E-B8DE-A502B71CFAC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62FD8131-64DA-4C06-9EEE-F88E90FDE60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BD7B08C9-C9B8-4802-A616-EA15A241416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0" name="TextBox 1">
          <a:extLst>
            <a:ext uri="{FF2B5EF4-FFF2-40B4-BE49-F238E27FC236}">
              <a16:creationId xmlns:a16="http://schemas.microsoft.com/office/drawing/2014/main" id="{2BCFE999-36F9-4660-8834-A322A90CA56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1" name="TextBox 1">
          <a:extLst>
            <a:ext uri="{FF2B5EF4-FFF2-40B4-BE49-F238E27FC236}">
              <a16:creationId xmlns:a16="http://schemas.microsoft.com/office/drawing/2014/main" id="{203A40C3-7236-4129-85EE-D024DF9DD1F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E171D920-3B60-4C91-A04B-E29E1540913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458F1EB0-B118-4273-A874-F79DD014D64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4" name="TextBox 1">
          <a:extLst>
            <a:ext uri="{FF2B5EF4-FFF2-40B4-BE49-F238E27FC236}">
              <a16:creationId xmlns:a16="http://schemas.microsoft.com/office/drawing/2014/main" id="{FEFD7C6C-7CF4-4989-B7B1-D3D534AD766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5" name="TextBox 1">
          <a:extLst>
            <a:ext uri="{FF2B5EF4-FFF2-40B4-BE49-F238E27FC236}">
              <a16:creationId xmlns:a16="http://schemas.microsoft.com/office/drawing/2014/main" id="{44BC9F40-38CF-44E2-A3A6-8F086FECBD0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0A915295-94A0-47F2-8F12-EC75CC04958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CC99FB33-C04E-404D-A6C0-192A4A5D37F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8" name="TextBox 1">
          <a:extLst>
            <a:ext uri="{FF2B5EF4-FFF2-40B4-BE49-F238E27FC236}">
              <a16:creationId xmlns:a16="http://schemas.microsoft.com/office/drawing/2014/main" id="{867E7937-FB2D-473A-8954-18FFA58B12B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9" name="TextBox 1">
          <a:extLst>
            <a:ext uri="{FF2B5EF4-FFF2-40B4-BE49-F238E27FC236}">
              <a16:creationId xmlns:a16="http://schemas.microsoft.com/office/drawing/2014/main" id="{FA18D3D3-4346-44B5-BB29-2C95F9A1FFE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0429030E-B302-4781-9AD6-754BE2101C6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938CAE5C-CE64-4730-83CE-87C2FFDF27A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1F440317-4CDC-4DC0-9896-08CABA4C952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3" name="TextBox 1">
          <a:extLst>
            <a:ext uri="{FF2B5EF4-FFF2-40B4-BE49-F238E27FC236}">
              <a16:creationId xmlns:a16="http://schemas.microsoft.com/office/drawing/2014/main" id="{8DD0BC62-055F-4956-8CCD-AA7CDD45B01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4" name="TextBox 1">
          <a:extLst>
            <a:ext uri="{FF2B5EF4-FFF2-40B4-BE49-F238E27FC236}">
              <a16:creationId xmlns:a16="http://schemas.microsoft.com/office/drawing/2014/main" id="{7737B583-DEF8-41CB-9F61-449E98FA8F9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33A87BEB-428F-4ADD-AE4A-A0B4698F0AB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763C9BBA-5731-4DED-997D-6387624BD94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7" name="TextBox 1">
          <a:extLst>
            <a:ext uri="{FF2B5EF4-FFF2-40B4-BE49-F238E27FC236}">
              <a16:creationId xmlns:a16="http://schemas.microsoft.com/office/drawing/2014/main" id="{69E64844-C979-4475-8214-B86A77E6A6E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8" name="TextBox 1">
          <a:extLst>
            <a:ext uri="{FF2B5EF4-FFF2-40B4-BE49-F238E27FC236}">
              <a16:creationId xmlns:a16="http://schemas.microsoft.com/office/drawing/2014/main" id="{78496BEC-BF0A-4196-93DF-BA8DE8E322B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550AD0D9-6935-45FD-AEB3-C3A04D7521E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EA3C9110-015D-4276-B1D7-1870828211B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1" name="TextBox 1">
          <a:extLst>
            <a:ext uri="{FF2B5EF4-FFF2-40B4-BE49-F238E27FC236}">
              <a16:creationId xmlns:a16="http://schemas.microsoft.com/office/drawing/2014/main" id="{FD7863CF-2013-42BC-A05E-B246341DC4C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2" name="TextBox 1">
          <a:extLst>
            <a:ext uri="{FF2B5EF4-FFF2-40B4-BE49-F238E27FC236}">
              <a16:creationId xmlns:a16="http://schemas.microsoft.com/office/drawing/2014/main" id="{731EB98A-C59F-48D0-A7C7-EE197E292EB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0D627C0D-F36C-48CF-82D9-14D41880ACB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F8ADD75C-DC37-4802-A45C-4C9CC1B11BF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5" name="TextBox 1">
          <a:extLst>
            <a:ext uri="{FF2B5EF4-FFF2-40B4-BE49-F238E27FC236}">
              <a16:creationId xmlns:a16="http://schemas.microsoft.com/office/drawing/2014/main" id="{7BDF7312-4C1A-4A96-85E0-05399A4C844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6" name="TextBox 1">
          <a:extLst>
            <a:ext uri="{FF2B5EF4-FFF2-40B4-BE49-F238E27FC236}">
              <a16:creationId xmlns:a16="http://schemas.microsoft.com/office/drawing/2014/main" id="{40732845-6937-48A2-ABA8-350DC498635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DD804F03-86E7-4637-999D-C6B7214948C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1BB46532-C947-4770-A611-5ABA8BEC927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9" name="TextBox 1">
          <a:extLst>
            <a:ext uri="{FF2B5EF4-FFF2-40B4-BE49-F238E27FC236}">
              <a16:creationId xmlns:a16="http://schemas.microsoft.com/office/drawing/2014/main" id="{5A3C3FB2-13A5-4F11-9113-7D0E5316746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0" name="TextBox 1">
          <a:extLst>
            <a:ext uri="{FF2B5EF4-FFF2-40B4-BE49-F238E27FC236}">
              <a16:creationId xmlns:a16="http://schemas.microsoft.com/office/drawing/2014/main" id="{83C32C44-FCB6-4A0E-8344-768C101AF06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53414F04-83FF-414F-8AFA-6E9FA06A7C1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246336DC-4C4F-4B50-99A6-674744336CE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3" name="TextBox 1">
          <a:extLst>
            <a:ext uri="{FF2B5EF4-FFF2-40B4-BE49-F238E27FC236}">
              <a16:creationId xmlns:a16="http://schemas.microsoft.com/office/drawing/2014/main" id="{B14205EE-15FF-4A8B-9C8A-6AA69C344E7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4" name="TextBox 1">
          <a:extLst>
            <a:ext uri="{FF2B5EF4-FFF2-40B4-BE49-F238E27FC236}">
              <a16:creationId xmlns:a16="http://schemas.microsoft.com/office/drawing/2014/main" id="{BE442A09-DF6B-4042-8711-C5859071C38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11EE4534-91FA-45EF-85D9-BA4E07D255C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D21564D1-6AAD-4952-B47F-7AB11D2F7C4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7" name="TextBox 1">
          <a:extLst>
            <a:ext uri="{FF2B5EF4-FFF2-40B4-BE49-F238E27FC236}">
              <a16:creationId xmlns:a16="http://schemas.microsoft.com/office/drawing/2014/main" id="{6E15740D-1FFE-4107-BCD2-1D0646B44A0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8" name="TextBox 1">
          <a:extLst>
            <a:ext uri="{FF2B5EF4-FFF2-40B4-BE49-F238E27FC236}">
              <a16:creationId xmlns:a16="http://schemas.microsoft.com/office/drawing/2014/main" id="{A1F19919-3F67-443C-8625-C6166AEA5D4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C8F5F313-80CF-470E-A8C9-AC4CF402B4F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4DEE9D5E-C7E8-448D-B428-F00090AD221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1" name="TextBox 1">
          <a:extLst>
            <a:ext uri="{FF2B5EF4-FFF2-40B4-BE49-F238E27FC236}">
              <a16:creationId xmlns:a16="http://schemas.microsoft.com/office/drawing/2014/main" id="{28FA392A-869A-4406-B78D-7A8F37C5850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2" name="TextBox 1">
          <a:extLst>
            <a:ext uri="{FF2B5EF4-FFF2-40B4-BE49-F238E27FC236}">
              <a16:creationId xmlns:a16="http://schemas.microsoft.com/office/drawing/2014/main" id="{C8FB80F6-4C6E-4D28-A0A7-F5D5596A83F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1A36A63D-5D66-4BF3-90F3-A94028D857E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AB5BB3AC-BBF8-4558-84D7-90C34E4C4CD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5" name="TextBox 1">
          <a:extLst>
            <a:ext uri="{FF2B5EF4-FFF2-40B4-BE49-F238E27FC236}">
              <a16:creationId xmlns:a16="http://schemas.microsoft.com/office/drawing/2014/main" id="{BDCF01CB-C1B7-4BA2-8D66-4AF07178363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6" name="TextBox 1">
          <a:extLst>
            <a:ext uri="{FF2B5EF4-FFF2-40B4-BE49-F238E27FC236}">
              <a16:creationId xmlns:a16="http://schemas.microsoft.com/office/drawing/2014/main" id="{398D1C31-D74C-4E79-A448-1295709D4D8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E4F4D47D-6A6C-4749-8E46-5FDD3216565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8" name="TextBox 1">
          <a:extLst>
            <a:ext uri="{FF2B5EF4-FFF2-40B4-BE49-F238E27FC236}">
              <a16:creationId xmlns:a16="http://schemas.microsoft.com/office/drawing/2014/main" id="{06BA1FC9-03A5-4D79-95EF-64A325C6323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9" name="TextBox 1">
          <a:extLst>
            <a:ext uri="{FF2B5EF4-FFF2-40B4-BE49-F238E27FC236}">
              <a16:creationId xmlns:a16="http://schemas.microsoft.com/office/drawing/2014/main" id="{A41CB10B-A33A-4A5D-888E-1AE838BD4EE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9D4A07AF-FF51-424E-A4EE-A45B1876B34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1" name="TextBox 1">
          <a:extLst>
            <a:ext uri="{FF2B5EF4-FFF2-40B4-BE49-F238E27FC236}">
              <a16:creationId xmlns:a16="http://schemas.microsoft.com/office/drawing/2014/main" id="{E0183981-9946-4714-A1E7-E6788ABC6D5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4790994C-BB81-49D1-B815-FB54712DD9B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3" name="TextBox 1">
          <a:extLst>
            <a:ext uri="{FF2B5EF4-FFF2-40B4-BE49-F238E27FC236}">
              <a16:creationId xmlns:a16="http://schemas.microsoft.com/office/drawing/2014/main" id="{87D71EF7-7BC7-4352-AC29-5CD669D20C2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4" name="TextBox 1">
          <a:extLst>
            <a:ext uri="{FF2B5EF4-FFF2-40B4-BE49-F238E27FC236}">
              <a16:creationId xmlns:a16="http://schemas.microsoft.com/office/drawing/2014/main" id="{A377CB0C-9CAE-4897-813D-E88B4F5F413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2155571D-5AD4-4C51-942B-0781EA99733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18B095FB-3DA0-465D-8C87-09765B06876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7" name="TextBox 1">
          <a:extLst>
            <a:ext uri="{FF2B5EF4-FFF2-40B4-BE49-F238E27FC236}">
              <a16:creationId xmlns:a16="http://schemas.microsoft.com/office/drawing/2014/main" id="{48896257-284C-4887-B420-22AE09AA4A2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8" name="TextBox 1">
          <a:extLst>
            <a:ext uri="{FF2B5EF4-FFF2-40B4-BE49-F238E27FC236}">
              <a16:creationId xmlns:a16="http://schemas.microsoft.com/office/drawing/2014/main" id="{359F8325-78B0-4CFC-8DB4-26CFE4CD010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E4D84930-43BE-4C0F-8273-7B81021114D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74788666-BBA1-4D71-AB7D-A4B13C5E9D5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E52393D8-49D0-4FB7-BC95-3D93904406F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2" name="TextBox 1">
          <a:extLst>
            <a:ext uri="{FF2B5EF4-FFF2-40B4-BE49-F238E27FC236}">
              <a16:creationId xmlns:a16="http://schemas.microsoft.com/office/drawing/2014/main" id="{A912B149-DF2A-483C-9B5B-F4BC9719B92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3" name="TextBox 1">
          <a:extLst>
            <a:ext uri="{FF2B5EF4-FFF2-40B4-BE49-F238E27FC236}">
              <a16:creationId xmlns:a16="http://schemas.microsoft.com/office/drawing/2014/main" id="{D443F8E8-954D-405D-BC13-23BB62F701C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03CE0897-E8EF-4B85-92CE-C52923C913B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EDB23C64-063D-4B2E-BC66-ACF31305D18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6" name="TextBox 1">
          <a:extLst>
            <a:ext uri="{FF2B5EF4-FFF2-40B4-BE49-F238E27FC236}">
              <a16:creationId xmlns:a16="http://schemas.microsoft.com/office/drawing/2014/main" id="{4A5F2E55-7212-4830-A628-A653E62EDF2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7" name="TextBox 1">
          <a:extLst>
            <a:ext uri="{FF2B5EF4-FFF2-40B4-BE49-F238E27FC236}">
              <a16:creationId xmlns:a16="http://schemas.microsoft.com/office/drawing/2014/main" id="{38FF05FF-5CE4-4892-8E83-0C82FE60E94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7A652EAB-5684-4457-B362-56FE90D16B4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BC9D34CD-5202-48FE-B557-FEF4C0ABC56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0" name="TextBox 1">
          <a:extLst>
            <a:ext uri="{FF2B5EF4-FFF2-40B4-BE49-F238E27FC236}">
              <a16:creationId xmlns:a16="http://schemas.microsoft.com/office/drawing/2014/main" id="{23CCE58C-3BFF-4F63-B43F-C417516A70D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1" name="TextBox 1">
          <a:extLst>
            <a:ext uri="{FF2B5EF4-FFF2-40B4-BE49-F238E27FC236}">
              <a16:creationId xmlns:a16="http://schemas.microsoft.com/office/drawing/2014/main" id="{3881329C-D768-4C41-96D0-0912A9EF090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95C6CB2C-E5A0-40C1-A86B-5F564BF8639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30E4007C-26B7-4812-A860-0B43717DB05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4" name="TextBox 1">
          <a:extLst>
            <a:ext uri="{FF2B5EF4-FFF2-40B4-BE49-F238E27FC236}">
              <a16:creationId xmlns:a16="http://schemas.microsoft.com/office/drawing/2014/main" id="{E4F638B0-C619-4A28-991D-4DD3E09AECD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5" name="TextBox 1">
          <a:extLst>
            <a:ext uri="{FF2B5EF4-FFF2-40B4-BE49-F238E27FC236}">
              <a16:creationId xmlns:a16="http://schemas.microsoft.com/office/drawing/2014/main" id="{E61DC809-6CFA-4903-AC46-C1EE12CB712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99F7849D-B9B2-4D45-94CB-9ADC211A6D3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3C391DD7-A130-4803-9A87-FB47274B034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8" name="TextBox 1">
          <a:extLst>
            <a:ext uri="{FF2B5EF4-FFF2-40B4-BE49-F238E27FC236}">
              <a16:creationId xmlns:a16="http://schemas.microsoft.com/office/drawing/2014/main" id="{EEFFFF4C-A246-4FF0-9B31-F4DB42460DB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9" name="TextBox 1">
          <a:extLst>
            <a:ext uri="{FF2B5EF4-FFF2-40B4-BE49-F238E27FC236}">
              <a16:creationId xmlns:a16="http://schemas.microsoft.com/office/drawing/2014/main" id="{466BEB57-79B4-498C-9128-079C7061E4E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957DE9CD-401F-4F13-821C-C18D89DEB80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8D999CC9-D927-4927-AF42-88BA332FB42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2" name="TextBox 1">
          <a:extLst>
            <a:ext uri="{FF2B5EF4-FFF2-40B4-BE49-F238E27FC236}">
              <a16:creationId xmlns:a16="http://schemas.microsoft.com/office/drawing/2014/main" id="{21501649-88D7-4A97-8D0F-480AF2B3F4B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3" name="TextBox 1">
          <a:extLst>
            <a:ext uri="{FF2B5EF4-FFF2-40B4-BE49-F238E27FC236}">
              <a16:creationId xmlns:a16="http://schemas.microsoft.com/office/drawing/2014/main" id="{877A1A74-B7D8-42E1-B6FD-3451F297034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FCB8011F-1AAF-40B7-82B9-F12B0270F98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5DF689B4-6955-4ABC-81C6-AF323438952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6" name="TextBox 1">
          <a:extLst>
            <a:ext uri="{FF2B5EF4-FFF2-40B4-BE49-F238E27FC236}">
              <a16:creationId xmlns:a16="http://schemas.microsoft.com/office/drawing/2014/main" id="{894B4438-D894-4150-A770-5A2AB4BED76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7" name="TextBox 1">
          <a:extLst>
            <a:ext uri="{FF2B5EF4-FFF2-40B4-BE49-F238E27FC236}">
              <a16:creationId xmlns:a16="http://schemas.microsoft.com/office/drawing/2014/main" id="{A33661BB-24FF-4C83-B567-5A033C1E00E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37FEE235-1077-46D3-B27A-5E3A8663A12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F45B8A67-111E-4769-B411-1526CD8DD8B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0" name="TextBox 1">
          <a:extLst>
            <a:ext uri="{FF2B5EF4-FFF2-40B4-BE49-F238E27FC236}">
              <a16:creationId xmlns:a16="http://schemas.microsoft.com/office/drawing/2014/main" id="{3E40C5DA-8FD3-471F-9505-6051D0336AE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1" name="TextBox 1">
          <a:extLst>
            <a:ext uri="{FF2B5EF4-FFF2-40B4-BE49-F238E27FC236}">
              <a16:creationId xmlns:a16="http://schemas.microsoft.com/office/drawing/2014/main" id="{67E19585-C08C-4974-9043-55F90996B25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FC95C25D-25EF-468A-A0AA-9A62A213FB4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19E2D661-0D4D-431D-9707-C1FB75417C4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4" name="TextBox 1">
          <a:extLst>
            <a:ext uri="{FF2B5EF4-FFF2-40B4-BE49-F238E27FC236}">
              <a16:creationId xmlns:a16="http://schemas.microsoft.com/office/drawing/2014/main" id="{38621364-9362-4E8F-9FFC-7656E797547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5" name="TextBox 1">
          <a:extLst>
            <a:ext uri="{FF2B5EF4-FFF2-40B4-BE49-F238E27FC236}">
              <a16:creationId xmlns:a16="http://schemas.microsoft.com/office/drawing/2014/main" id="{7B4AC73F-560B-46DE-9D21-51563B9A03F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90C3A651-4278-47AE-9A62-E0BD23BD17B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DF2C079E-E54B-44A9-942E-2B3B6FA7DDF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DE8DCC07-BB95-4538-A81F-E62D1126F43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9" name="TextBox 1">
          <a:extLst>
            <a:ext uri="{FF2B5EF4-FFF2-40B4-BE49-F238E27FC236}">
              <a16:creationId xmlns:a16="http://schemas.microsoft.com/office/drawing/2014/main" id="{A49FF11B-B218-44E7-85C3-4503309B9E8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0" name="TextBox 1">
          <a:extLst>
            <a:ext uri="{FF2B5EF4-FFF2-40B4-BE49-F238E27FC236}">
              <a16:creationId xmlns:a16="http://schemas.microsoft.com/office/drawing/2014/main" id="{B357294C-608A-4B07-AE94-E55FE6FF5A3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04EA3053-8E3E-4D58-A6E9-3357DF4B3C3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E342B0B2-DA62-4C83-94FD-8223C1BC17F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3" name="TextBox 1">
          <a:extLst>
            <a:ext uri="{FF2B5EF4-FFF2-40B4-BE49-F238E27FC236}">
              <a16:creationId xmlns:a16="http://schemas.microsoft.com/office/drawing/2014/main" id="{E53AFEA2-FDD2-4C51-8784-4F7BEB25F07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4" name="TextBox 1">
          <a:extLst>
            <a:ext uri="{FF2B5EF4-FFF2-40B4-BE49-F238E27FC236}">
              <a16:creationId xmlns:a16="http://schemas.microsoft.com/office/drawing/2014/main" id="{8DD75789-32FF-4469-884C-8018968024F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EFD778D7-6672-4952-A9A9-D2A47756E2D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FC63D112-EABD-477F-9DE1-F0242366B6A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7" name="TextBox 1">
          <a:extLst>
            <a:ext uri="{FF2B5EF4-FFF2-40B4-BE49-F238E27FC236}">
              <a16:creationId xmlns:a16="http://schemas.microsoft.com/office/drawing/2014/main" id="{CD52FFC3-B7E1-4ADA-B6D6-83505C97983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8" name="TextBox 1">
          <a:extLst>
            <a:ext uri="{FF2B5EF4-FFF2-40B4-BE49-F238E27FC236}">
              <a16:creationId xmlns:a16="http://schemas.microsoft.com/office/drawing/2014/main" id="{B4089111-E1F0-494A-B714-77BDB19B7C2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F07A6D18-56B6-4C62-B4C2-B54B6284805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4204A63A-03C2-47EB-8BF4-1A59D6F3C36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1" name="TextBox 1">
          <a:extLst>
            <a:ext uri="{FF2B5EF4-FFF2-40B4-BE49-F238E27FC236}">
              <a16:creationId xmlns:a16="http://schemas.microsoft.com/office/drawing/2014/main" id="{EEB98483-6055-4E65-95C0-777EBFF95B4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2" name="TextBox 1">
          <a:extLst>
            <a:ext uri="{FF2B5EF4-FFF2-40B4-BE49-F238E27FC236}">
              <a16:creationId xmlns:a16="http://schemas.microsoft.com/office/drawing/2014/main" id="{7925ADBC-8EA2-42C2-817B-B82598035DE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79CCD828-3109-4773-8B59-A842F0FAF72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5B4A886C-52F1-4F05-B640-174C581B060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5" name="TextBox 1">
          <a:extLst>
            <a:ext uri="{FF2B5EF4-FFF2-40B4-BE49-F238E27FC236}">
              <a16:creationId xmlns:a16="http://schemas.microsoft.com/office/drawing/2014/main" id="{755ED8AD-48B7-4372-AE3B-A9CEF258DBC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6" name="TextBox 1">
          <a:extLst>
            <a:ext uri="{FF2B5EF4-FFF2-40B4-BE49-F238E27FC236}">
              <a16:creationId xmlns:a16="http://schemas.microsoft.com/office/drawing/2014/main" id="{B1BB3FA1-7888-457A-BE70-C5CE39E7891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0326B8F8-BE1E-4CB8-97BB-54EFFD7B224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E91E2D0B-A610-4887-AB1A-4392B439269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9" name="TextBox 1">
          <a:extLst>
            <a:ext uri="{FF2B5EF4-FFF2-40B4-BE49-F238E27FC236}">
              <a16:creationId xmlns:a16="http://schemas.microsoft.com/office/drawing/2014/main" id="{AFD6330B-A1C5-4915-92B8-0D2075F4911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0" name="TextBox 1">
          <a:extLst>
            <a:ext uri="{FF2B5EF4-FFF2-40B4-BE49-F238E27FC236}">
              <a16:creationId xmlns:a16="http://schemas.microsoft.com/office/drawing/2014/main" id="{E061DA01-296D-40E1-84E8-BEC867A2FD1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B63CDA0A-5A01-4E1F-A219-4759D5B0F04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78332199-5A1C-4398-8F11-7F36565027F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3" name="TextBox 1">
          <a:extLst>
            <a:ext uri="{FF2B5EF4-FFF2-40B4-BE49-F238E27FC236}">
              <a16:creationId xmlns:a16="http://schemas.microsoft.com/office/drawing/2014/main" id="{4DFBD20E-CC93-4216-8F2E-460453B1D31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4" name="TextBox 1">
          <a:extLst>
            <a:ext uri="{FF2B5EF4-FFF2-40B4-BE49-F238E27FC236}">
              <a16:creationId xmlns:a16="http://schemas.microsoft.com/office/drawing/2014/main" id="{6E081AB3-DE1C-409F-97BE-D375192B51B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56EA2B2C-83F0-4E52-91E7-D794C08B400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21465568-0F8F-4796-B7A8-51A7C544C65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7" name="TextBox 1">
          <a:extLst>
            <a:ext uri="{FF2B5EF4-FFF2-40B4-BE49-F238E27FC236}">
              <a16:creationId xmlns:a16="http://schemas.microsoft.com/office/drawing/2014/main" id="{26C22B87-1A03-48B8-BA70-E0C61D56EF5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8" name="TextBox 1">
          <a:extLst>
            <a:ext uri="{FF2B5EF4-FFF2-40B4-BE49-F238E27FC236}">
              <a16:creationId xmlns:a16="http://schemas.microsoft.com/office/drawing/2014/main" id="{450D6A48-6E4C-4F14-833B-2017A15DAA4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3EB11AED-0B29-4D2A-BD65-B929B514A10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013F5C39-9C29-483F-98F8-7250E24980A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1" name="TextBox 1">
          <a:extLst>
            <a:ext uri="{FF2B5EF4-FFF2-40B4-BE49-F238E27FC236}">
              <a16:creationId xmlns:a16="http://schemas.microsoft.com/office/drawing/2014/main" id="{DE1BC1F1-3818-434E-A8C9-0C53045B8AC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2" name="TextBox 1">
          <a:extLst>
            <a:ext uri="{FF2B5EF4-FFF2-40B4-BE49-F238E27FC236}">
              <a16:creationId xmlns:a16="http://schemas.microsoft.com/office/drawing/2014/main" id="{0D3AE5F5-DFD4-4E8F-B071-C2575CCF748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A2FD4D0C-30D1-430F-BE5C-452F1811E48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9A8EBF4D-8B2A-4674-90AB-7300C328E2B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5" name="TextBox 1">
          <a:extLst>
            <a:ext uri="{FF2B5EF4-FFF2-40B4-BE49-F238E27FC236}">
              <a16:creationId xmlns:a16="http://schemas.microsoft.com/office/drawing/2014/main" id="{CDD45EAB-6968-41C8-927B-AF7C6D4B01C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6" name="TextBox 1">
          <a:extLst>
            <a:ext uri="{FF2B5EF4-FFF2-40B4-BE49-F238E27FC236}">
              <a16:creationId xmlns:a16="http://schemas.microsoft.com/office/drawing/2014/main" id="{3A27647D-ECA6-4EC5-B376-350C44BE1C0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D44E7BE9-32E8-4810-9465-9513D093649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809AE54A-1AFD-4BEC-AB3C-ACB0BB47260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9" name="TextBox 1">
          <a:extLst>
            <a:ext uri="{FF2B5EF4-FFF2-40B4-BE49-F238E27FC236}">
              <a16:creationId xmlns:a16="http://schemas.microsoft.com/office/drawing/2014/main" id="{F3F40F36-F3A9-427E-AED7-70F1679131E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0" name="TextBox 1">
          <a:extLst>
            <a:ext uri="{FF2B5EF4-FFF2-40B4-BE49-F238E27FC236}">
              <a16:creationId xmlns:a16="http://schemas.microsoft.com/office/drawing/2014/main" id="{6F11F02C-DC69-4CC6-9E60-90975FB2220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CDBE9562-E1BD-4C39-8C28-CFEF6E4D21F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AA4B8441-354C-4FB3-BE25-7DA7152B404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D00DCBF6-70DE-41D0-AB42-2566B1BCF8F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4" name="TextBox 1">
          <a:extLst>
            <a:ext uri="{FF2B5EF4-FFF2-40B4-BE49-F238E27FC236}">
              <a16:creationId xmlns:a16="http://schemas.microsoft.com/office/drawing/2014/main" id="{B6761249-3874-40AB-9860-57A1C9B90D3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5" name="TextBox 1">
          <a:extLst>
            <a:ext uri="{FF2B5EF4-FFF2-40B4-BE49-F238E27FC236}">
              <a16:creationId xmlns:a16="http://schemas.microsoft.com/office/drawing/2014/main" id="{B9699E12-DB8E-48CE-943E-850839CC297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5E358107-02DA-45F8-8AC7-04B42B7902F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B2205FE9-FAF6-4989-8E81-8D3769F5FD8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8" name="TextBox 1">
          <a:extLst>
            <a:ext uri="{FF2B5EF4-FFF2-40B4-BE49-F238E27FC236}">
              <a16:creationId xmlns:a16="http://schemas.microsoft.com/office/drawing/2014/main" id="{332D9394-0257-4AD3-8863-17A885BC784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9" name="TextBox 1">
          <a:extLst>
            <a:ext uri="{FF2B5EF4-FFF2-40B4-BE49-F238E27FC236}">
              <a16:creationId xmlns:a16="http://schemas.microsoft.com/office/drawing/2014/main" id="{23D7CF45-1F13-4E41-81F1-B2221C453C5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13D5C3CB-0844-4E21-857B-20158BD3037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48A7DB9F-CD2F-4A2E-948D-FCB2275DDA9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2" name="TextBox 1">
          <a:extLst>
            <a:ext uri="{FF2B5EF4-FFF2-40B4-BE49-F238E27FC236}">
              <a16:creationId xmlns:a16="http://schemas.microsoft.com/office/drawing/2014/main" id="{74D2B679-854C-40F8-A09B-4F6FE303215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3" name="TextBox 1">
          <a:extLst>
            <a:ext uri="{FF2B5EF4-FFF2-40B4-BE49-F238E27FC236}">
              <a16:creationId xmlns:a16="http://schemas.microsoft.com/office/drawing/2014/main" id="{1E7F0457-E01D-4644-8B54-11EBF5CE743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B5B0C680-7D77-42F6-92D2-371A044B2CB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2249D341-8BFA-4A77-AD72-9AD8F1DB6AE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6" name="TextBox 1">
          <a:extLst>
            <a:ext uri="{FF2B5EF4-FFF2-40B4-BE49-F238E27FC236}">
              <a16:creationId xmlns:a16="http://schemas.microsoft.com/office/drawing/2014/main" id="{369E9864-F786-4FEA-ACF9-A6D8AB67E32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7" name="TextBox 1">
          <a:extLst>
            <a:ext uri="{FF2B5EF4-FFF2-40B4-BE49-F238E27FC236}">
              <a16:creationId xmlns:a16="http://schemas.microsoft.com/office/drawing/2014/main" id="{1D3E6AA6-3BAD-4D82-9938-0A86A07CFA7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7FB110DC-72F0-4D54-82B4-92D82C41ABA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520D84F7-C482-4240-90CC-C496EADA17A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0" name="TextBox 1">
          <a:extLst>
            <a:ext uri="{FF2B5EF4-FFF2-40B4-BE49-F238E27FC236}">
              <a16:creationId xmlns:a16="http://schemas.microsoft.com/office/drawing/2014/main" id="{632CB5A6-8CCB-4343-99EA-83C166F3484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1" name="TextBox 1">
          <a:extLst>
            <a:ext uri="{FF2B5EF4-FFF2-40B4-BE49-F238E27FC236}">
              <a16:creationId xmlns:a16="http://schemas.microsoft.com/office/drawing/2014/main" id="{00BB795A-D295-43D9-B506-A0D7573A6F8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3C07188A-0D83-45B2-8283-D44839C21C8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E862AA39-E847-4657-A64A-6DFC0205D08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4" name="TextBox 1">
          <a:extLst>
            <a:ext uri="{FF2B5EF4-FFF2-40B4-BE49-F238E27FC236}">
              <a16:creationId xmlns:a16="http://schemas.microsoft.com/office/drawing/2014/main" id="{5C035053-B7CC-42F0-84F8-1011A7D5993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5" name="TextBox 1">
          <a:extLst>
            <a:ext uri="{FF2B5EF4-FFF2-40B4-BE49-F238E27FC236}">
              <a16:creationId xmlns:a16="http://schemas.microsoft.com/office/drawing/2014/main" id="{27EB6C9A-3A24-47CE-9035-59CBC1784ED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49351A9F-F9E7-44F7-8DD6-46E6E948BB9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9BE81BB2-6161-4FAA-9E27-22E765F3C24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8" name="TextBox 1">
          <a:extLst>
            <a:ext uri="{FF2B5EF4-FFF2-40B4-BE49-F238E27FC236}">
              <a16:creationId xmlns:a16="http://schemas.microsoft.com/office/drawing/2014/main" id="{A7C06674-5D3A-44CC-85EE-966D8C087B3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9" name="TextBox 1">
          <a:extLst>
            <a:ext uri="{FF2B5EF4-FFF2-40B4-BE49-F238E27FC236}">
              <a16:creationId xmlns:a16="http://schemas.microsoft.com/office/drawing/2014/main" id="{73C7F2D3-AE67-4589-94E2-FC87DDB2354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6964B9B2-F631-4CB5-864F-065B6FCFB8B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46963908-9259-45B7-AB23-A1C59D13EEF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2" name="TextBox 1">
          <a:extLst>
            <a:ext uri="{FF2B5EF4-FFF2-40B4-BE49-F238E27FC236}">
              <a16:creationId xmlns:a16="http://schemas.microsoft.com/office/drawing/2014/main" id="{F16F1486-8B48-402F-BE73-959D2051712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3" name="TextBox 1">
          <a:extLst>
            <a:ext uri="{FF2B5EF4-FFF2-40B4-BE49-F238E27FC236}">
              <a16:creationId xmlns:a16="http://schemas.microsoft.com/office/drawing/2014/main" id="{FFC04CF0-C9E5-4A06-9148-9CC68F66BCB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F9DA118C-7FDA-4E9B-965A-0270871E95B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AC707404-C70C-49BC-8F09-9ED1670F690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6" name="TextBox 1">
          <a:extLst>
            <a:ext uri="{FF2B5EF4-FFF2-40B4-BE49-F238E27FC236}">
              <a16:creationId xmlns:a16="http://schemas.microsoft.com/office/drawing/2014/main" id="{C9880207-C8BC-4EAB-BA76-EA369B07DA2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7" name="TextBox 1">
          <a:extLst>
            <a:ext uri="{FF2B5EF4-FFF2-40B4-BE49-F238E27FC236}">
              <a16:creationId xmlns:a16="http://schemas.microsoft.com/office/drawing/2014/main" id="{DD67FF13-5CB1-4901-A36A-2EB4B61C94E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3728A3A1-655C-4E9E-BD5C-7AF9D4A5942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9" name="TextBox 1">
          <a:extLst>
            <a:ext uri="{FF2B5EF4-FFF2-40B4-BE49-F238E27FC236}">
              <a16:creationId xmlns:a16="http://schemas.microsoft.com/office/drawing/2014/main" id="{D77EF080-C9AD-45A2-AA4E-4689409E2F3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0" name="TextBox 1">
          <a:extLst>
            <a:ext uri="{FF2B5EF4-FFF2-40B4-BE49-F238E27FC236}">
              <a16:creationId xmlns:a16="http://schemas.microsoft.com/office/drawing/2014/main" id="{2BA8D969-107D-4148-BB3A-1B3FD5320AB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66065F4F-27BA-4C23-937D-626657BD432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2" name="TextBox 1">
          <a:extLst>
            <a:ext uri="{FF2B5EF4-FFF2-40B4-BE49-F238E27FC236}">
              <a16:creationId xmlns:a16="http://schemas.microsoft.com/office/drawing/2014/main" id="{DBF35B0D-9B67-45DB-A923-4CEBF372403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9103FC65-49FD-4719-81BC-0A02461C898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4" name="TextBox 1">
          <a:extLst>
            <a:ext uri="{FF2B5EF4-FFF2-40B4-BE49-F238E27FC236}">
              <a16:creationId xmlns:a16="http://schemas.microsoft.com/office/drawing/2014/main" id="{71577063-74D8-41CF-A0B3-66295A8ABC2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5" name="TextBox 1">
          <a:extLst>
            <a:ext uri="{FF2B5EF4-FFF2-40B4-BE49-F238E27FC236}">
              <a16:creationId xmlns:a16="http://schemas.microsoft.com/office/drawing/2014/main" id="{856CD2A7-5458-40B4-BEDD-05B63C6105A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B152F518-BA9D-4110-9D7E-0E7D40FE744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1C5AC1D3-A3CB-4B9D-A3AD-640BB1FD571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8" name="TextBox 1">
          <a:extLst>
            <a:ext uri="{FF2B5EF4-FFF2-40B4-BE49-F238E27FC236}">
              <a16:creationId xmlns:a16="http://schemas.microsoft.com/office/drawing/2014/main" id="{EA609E5C-0D05-42AD-B977-A0CC1E6C276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9" name="TextBox 1">
          <a:extLst>
            <a:ext uri="{FF2B5EF4-FFF2-40B4-BE49-F238E27FC236}">
              <a16:creationId xmlns:a16="http://schemas.microsoft.com/office/drawing/2014/main" id="{0C164532-CD83-46E6-9639-21C39E2AE89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52644BFB-6978-49EE-A8BF-3B25D3B673D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42E390E7-89F5-48E1-BA70-B4A5137F12B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59D7C0FB-7831-4C39-9211-589FA860412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3" name="TextBox 1">
          <a:extLst>
            <a:ext uri="{FF2B5EF4-FFF2-40B4-BE49-F238E27FC236}">
              <a16:creationId xmlns:a16="http://schemas.microsoft.com/office/drawing/2014/main" id="{7AC4DECD-AD4D-49C2-9CBD-8427B5F182B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4" name="TextBox 1">
          <a:extLst>
            <a:ext uri="{FF2B5EF4-FFF2-40B4-BE49-F238E27FC236}">
              <a16:creationId xmlns:a16="http://schemas.microsoft.com/office/drawing/2014/main" id="{D090A6A3-0239-4E53-A88B-ED2D919CFF3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2B49A36F-2D24-47BA-B732-3A03B4928F0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4958B96E-6B7A-4364-85EF-AE40A5D5B26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7" name="TextBox 1">
          <a:extLst>
            <a:ext uri="{FF2B5EF4-FFF2-40B4-BE49-F238E27FC236}">
              <a16:creationId xmlns:a16="http://schemas.microsoft.com/office/drawing/2014/main" id="{6382E8E2-667E-4EDF-A8E4-BF3CBC8C880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8" name="TextBox 1">
          <a:extLst>
            <a:ext uri="{FF2B5EF4-FFF2-40B4-BE49-F238E27FC236}">
              <a16:creationId xmlns:a16="http://schemas.microsoft.com/office/drawing/2014/main" id="{3AFEB687-3A36-4387-8D6B-364E0573162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0828CC17-E864-49B2-B86F-281D003E9A4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9C2F4AB4-144B-47AD-AF84-6CAF491D9F7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1" name="TextBox 1">
          <a:extLst>
            <a:ext uri="{FF2B5EF4-FFF2-40B4-BE49-F238E27FC236}">
              <a16:creationId xmlns:a16="http://schemas.microsoft.com/office/drawing/2014/main" id="{CF41F102-3CE2-4077-BE5F-FA8534D81BE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2" name="TextBox 1">
          <a:extLst>
            <a:ext uri="{FF2B5EF4-FFF2-40B4-BE49-F238E27FC236}">
              <a16:creationId xmlns:a16="http://schemas.microsoft.com/office/drawing/2014/main" id="{5813BCF4-C3F8-4613-8ACA-A41B3B37733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B4CE01E4-DDA9-462C-902C-ED7C1A37A79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E6D7143C-C0BD-4EA0-AE2E-F18748555D0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5" name="TextBox 1">
          <a:extLst>
            <a:ext uri="{FF2B5EF4-FFF2-40B4-BE49-F238E27FC236}">
              <a16:creationId xmlns:a16="http://schemas.microsoft.com/office/drawing/2014/main" id="{1430858A-D448-4315-8806-1BAE3964649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6" name="TextBox 1">
          <a:extLst>
            <a:ext uri="{FF2B5EF4-FFF2-40B4-BE49-F238E27FC236}">
              <a16:creationId xmlns:a16="http://schemas.microsoft.com/office/drawing/2014/main" id="{5B9A04F5-7E48-4C8D-B0A2-6850E0A3D32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741C1992-1120-4C48-9428-B2EC328564E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80E6EE3C-41FA-4AD8-BF52-F89B52804CC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9" name="TextBox 1">
          <a:extLst>
            <a:ext uri="{FF2B5EF4-FFF2-40B4-BE49-F238E27FC236}">
              <a16:creationId xmlns:a16="http://schemas.microsoft.com/office/drawing/2014/main" id="{E2A5402E-4DF5-4D72-9C0D-45C643F88C3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0" name="TextBox 1">
          <a:extLst>
            <a:ext uri="{FF2B5EF4-FFF2-40B4-BE49-F238E27FC236}">
              <a16:creationId xmlns:a16="http://schemas.microsoft.com/office/drawing/2014/main" id="{F248A286-CDF4-4E37-B1E7-49A96F4DDA8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79A354C1-6109-453B-A593-99597B823A3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63652C28-F95E-4F59-A079-2E1BF7059DD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3" name="TextBox 1">
          <a:extLst>
            <a:ext uri="{FF2B5EF4-FFF2-40B4-BE49-F238E27FC236}">
              <a16:creationId xmlns:a16="http://schemas.microsoft.com/office/drawing/2014/main" id="{38A93440-BA66-48B1-BDBE-557905B4827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4" name="TextBox 1">
          <a:extLst>
            <a:ext uri="{FF2B5EF4-FFF2-40B4-BE49-F238E27FC236}">
              <a16:creationId xmlns:a16="http://schemas.microsoft.com/office/drawing/2014/main" id="{0819AB03-21F1-4518-9637-442E9E7D7E0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AFAD1294-2820-4E85-9D71-4162633693E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77F641DC-7415-4AAE-8FAC-FC067EB97CE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7" name="TextBox 1">
          <a:extLst>
            <a:ext uri="{FF2B5EF4-FFF2-40B4-BE49-F238E27FC236}">
              <a16:creationId xmlns:a16="http://schemas.microsoft.com/office/drawing/2014/main" id="{75F5E94A-84B5-4C1E-8278-FF52B9284B6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8" name="TextBox 1">
          <a:extLst>
            <a:ext uri="{FF2B5EF4-FFF2-40B4-BE49-F238E27FC236}">
              <a16:creationId xmlns:a16="http://schemas.microsoft.com/office/drawing/2014/main" id="{B5507FE0-C3FC-4A77-844F-73C55DF9E2F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99C874C6-09D6-4047-9AAE-4A0C1F248B0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8050E65E-EF22-45F2-8298-7684CAE1284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1" name="TextBox 1">
          <a:extLst>
            <a:ext uri="{FF2B5EF4-FFF2-40B4-BE49-F238E27FC236}">
              <a16:creationId xmlns:a16="http://schemas.microsoft.com/office/drawing/2014/main" id="{91C79C7E-13FC-49E0-8FB2-B1A83CF5A09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2" name="TextBox 1">
          <a:extLst>
            <a:ext uri="{FF2B5EF4-FFF2-40B4-BE49-F238E27FC236}">
              <a16:creationId xmlns:a16="http://schemas.microsoft.com/office/drawing/2014/main" id="{EB7EB7C6-9B28-47FA-A87B-B1C67381B42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A110B32E-83FB-4148-B5CA-B7B901F6CDF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9A0FC2F9-2C5A-4C72-AEF7-92ABFC71EE0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5" name="TextBox 1">
          <a:extLst>
            <a:ext uri="{FF2B5EF4-FFF2-40B4-BE49-F238E27FC236}">
              <a16:creationId xmlns:a16="http://schemas.microsoft.com/office/drawing/2014/main" id="{DFB35100-F89D-4891-8961-026B009C3A8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6" name="TextBox 1">
          <a:extLst>
            <a:ext uri="{FF2B5EF4-FFF2-40B4-BE49-F238E27FC236}">
              <a16:creationId xmlns:a16="http://schemas.microsoft.com/office/drawing/2014/main" id="{EC12AD0B-A27F-46DF-821F-06ACC504323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426A06DC-BF86-4E65-A7C4-B675D2F3157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49B31AA1-C0B7-4531-8A73-BE2FCA75F8C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3C1A4F76-FA30-42F8-BE72-030F1F05B36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0" name="TextBox 1">
          <a:extLst>
            <a:ext uri="{FF2B5EF4-FFF2-40B4-BE49-F238E27FC236}">
              <a16:creationId xmlns:a16="http://schemas.microsoft.com/office/drawing/2014/main" id="{C855C505-970B-4900-B76B-AAA043CF9BE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1" name="TextBox 1">
          <a:extLst>
            <a:ext uri="{FF2B5EF4-FFF2-40B4-BE49-F238E27FC236}">
              <a16:creationId xmlns:a16="http://schemas.microsoft.com/office/drawing/2014/main" id="{B9A28BC5-E9B9-4133-8B7F-F746892270C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92515A67-F5A6-4341-AB03-5C1227AD15E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4EF4DDF0-3CDE-48C0-A5BA-0E8AACFDA37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4" name="TextBox 1">
          <a:extLst>
            <a:ext uri="{FF2B5EF4-FFF2-40B4-BE49-F238E27FC236}">
              <a16:creationId xmlns:a16="http://schemas.microsoft.com/office/drawing/2014/main" id="{81F0E2AA-8D06-4C8A-A9BF-341084BB8F1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5" name="TextBox 1">
          <a:extLst>
            <a:ext uri="{FF2B5EF4-FFF2-40B4-BE49-F238E27FC236}">
              <a16:creationId xmlns:a16="http://schemas.microsoft.com/office/drawing/2014/main" id="{BCBBED2D-0D51-4844-9BB6-6F9993A517B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AC27CEE8-1E46-4A47-921E-119522E8FFE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FD01C03C-EEA0-44AE-8301-51528B9C73F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8" name="TextBox 1">
          <a:extLst>
            <a:ext uri="{FF2B5EF4-FFF2-40B4-BE49-F238E27FC236}">
              <a16:creationId xmlns:a16="http://schemas.microsoft.com/office/drawing/2014/main" id="{B36B0DF8-E46B-468E-9DD7-686D3F8F2B3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9" name="TextBox 1">
          <a:extLst>
            <a:ext uri="{FF2B5EF4-FFF2-40B4-BE49-F238E27FC236}">
              <a16:creationId xmlns:a16="http://schemas.microsoft.com/office/drawing/2014/main" id="{0D540D42-C3C0-4628-A4FD-2C571625E6C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0EB6EAAD-EF96-4133-8CBA-CFFE7B103AA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FB41B096-D81B-402D-BFF0-B6DB369A822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2" name="TextBox 1">
          <a:extLst>
            <a:ext uri="{FF2B5EF4-FFF2-40B4-BE49-F238E27FC236}">
              <a16:creationId xmlns:a16="http://schemas.microsoft.com/office/drawing/2014/main" id="{1A26174D-32E3-49C5-BF11-BD516B9B998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3" name="TextBox 1">
          <a:extLst>
            <a:ext uri="{FF2B5EF4-FFF2-40B4-BE49-F238E27FC236}">
              <a16:creationId xmlns:a16="http://schemas.microsoft.com/office/drawing/2014/main" id="{17C2E3DC-4C4A-4500-AE7E-B542AA86453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F3862668-7CBD-4BF1-BA0A-7266A985D68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5426A573-754D-432A-AF0D-4C91C1C713C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6" name="TextBox 1">
          <a:extLst>
            <a:ext uri="{FF2B5EF4-FFF2-40B4-BE49-F238E27FC236}">
              <a16:creationId xmlns:a16="http://schemas.microsoft.com/office/drawing/2014/main" id="{14A7AB09-160F-437D-8111-C01E50C5EA0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7" name="TextBox 1">
          <a:extLst>
            <a:ext uri="{FF2B5EF4-FFF2-40B4-BE49-F238E27FC236}">
              <a16:creationId xmlns:a16="http://schemas.microsoft.com/office/drawing/2014/main" id="{3F9716DB-1545-48ED-BE61-331B2542651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3B17B89A-E67C-47AE-B53B-8E7AB624BDB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AC2BDF4C-F699-439A-8A52-C671457DA6B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0" name="TextBox 1">
          <a:extLst>
            <a:ext uri="{FF2B5EF4-FFF2-40B4-BE49-F238E27FC236}">
              <a16:creationId xmlns:a16="http://schemas.microsoft.com/office/drawing/2014/main" id="{514EDB31-50E2-406C-9ED7-B8645E30374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1" name="TextBox 1">
          <a:extLst>
            <a:ext uri="{FF2B5EF4-FFF2-40B4-BE49-F238E27FC236}">
              <a16:creationId xmlns:a16="http://schemas.microsoft.com/office/drawing/2014/main" id="{D8A45E99-9B88-4665-BE29-2368552098B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D33D3329-3ADB-4C4A-84E9-2E166CD6D2C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8A4C838D-BADF-42D6-80AC-AE241E214E7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4" name="TextBox 1">
          <a:extLst>
            <a:ext uri="{FF2B5EF4-FFF2-40B4-BE49-F238E27FC236}">
              <a16:creationId xmlns:a16="http://schemas.microsoft.com/office/drawing/2014/main" id="{55A5550F-1286-4B64-BD39-F7521F033B7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5" name="TextBox 1">
          <a:extLst>
            <a:ext uri="{FF2B5EF4-FFF2-40B4-BE49-F238E27FC236}">
              <a16:creationId xmlns:a16="http://schemas.microsoft.com/office/drawing/2014/main" id="{797B71C3-50A6-4032-83C4-DA767395961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F14CF811-45C9-4296-85B0-0BBD19B7DEB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952C0E25-1394-4EE7-9B20-1E73B15C938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8" name="TextBox 1">
          <a:extLst>
            <a:ext uri="{FF2B5EF4-FFF2-40B4-BE49-F238E27FC236}">
              <a16:creationId xmlns:a16="http://schemas.microsoft.com/office/drawing/2014/main" id="{BD93A4E9-A4EB-46AD-802C-8F26A2A4F70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9" name="TextBox 1">
          <a:extLst>
            <a:ext uri="{FF2B5EF4-FFF2-40B4-BE49-F238E27FC236}">
              <a16:creationId xmlns:a16="http://schemas.microsoft.com/office/drawing/2014/main" id="{EDB1ABDE-7200-43AE-A277-84F607D2810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C2CB0959-A9E6-4B4D-A906-FF41D90B01F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1AC35A1F-84FF-4450-87D7-9885E64AE5E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2" name="TextBox 1">
          <a:extLst>
            <a:ext uri="{FF2B5EF4-FFF2-40B4-BE49-F238E27FC236}">
              <a16:creationId xmlns:a16="http://schemas.microsoft.com/office/drawing/2014/main" id="{C5AF2E2E-2945-425B-B499-A864C133F73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3" name="TextBox 1">
          <a:extLst>
            <a:ext uri="{FF2B5EF4-FFF2-40B4-BE49-F238E27FC236}">
              <a16:creationId xmlns:a16="http://schemas.microsoft.com/office/drawing/2014/main" id="{8DFD8FEC-9AC3-4C72-BF20-4F8D6587FC1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FA96D976-9C61-4F74-B680-007B6C63C7B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1A90A9DF-FCAA-477E-B3B1-A53A13A5555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6" name="TextBox 1">
          <a:extLst>
            <a:ext uri="{FF2B5EF4-FFF2-40B4-BE49-F238E27FC236}">
              <a16:creationId xmlns:a16="http://schemas.microsoft.com/office/drawing/2014/main" id="{D6909C8F-3934-4519-8949-E4D0D91FA14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7" name="TextBox 1">
          <a:extLst>
            <a:ext uri="{FF2B5EF4-FFF2-40B4-BE49-F238E27FC236}">
              <a16:creationId xmlns:a16="http://schemas.microsoft.com/office/drawing/2014/main" id="{E51C21F5-099C-413C-91DC-F5FB90309A6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AA40CA5D-995F-4107-ABD5-7C7D4509763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E7227606-21DF-4C85-AFA5-1EA8188E6EE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0" name="TextBox 1">
          <a:extLst>
            <a:ext uri="{FF2B5EF4-FFF2-40B4-BE49-F238E27FC236}">
              <a16:creationId xmlns:a16="http://schemas.microsoft.com/office/drawing/2014/main" id="{E00381E8-7520-4668-863C-4072800B6EC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1" name="TextBox 1">
          <a:extLst>
            <a:ext uri="{FF2B5EF4-FFF2-40B4-BE49-F238E27FC236}">
              <a16:creationId xmlns:a16="http://schemas.microsoft.com/office/drawing/2014/main" id="{A7034A0F-AE32-4B46-B354-EFC5DE4D400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2ADA0F6C-60C1-4EA4-952C-82D428470B2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1ADC69A9-BF5F-4979-876E-A1DD60EE8BB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40859E6C-AAFE-4FCE-9857-353BF66EE9C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5" name="TextBox 1">
          <a:extLst>
            <a:ext uri="{FF2B5EF4-FFF2-40B4-BE49-F238E27FC236}">
              <a16:creationId xmlns:a16="http://schemas.microsoft.com/office/drawing/2014/main" id="{D4BE55B8-048A-4D6C-8D1B-CC9821A9EE3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6" name="TextBox 1">
          <a:extLst>
            <a:ext uri="{FF2B5EF4-FFF2-40B4-BE49-F238E27FC236}">
              <a16:creationId xmlns:a16="http://schemas.microsoft.com/office/drawing/2014/main" id="{7F9A0C70-B440-4EF9-8B55-0FEF244FB7E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FA3456EF-4094-4799-91C0-F4A1AF9190B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37FA3043-786B-421F-A0A7-856A1BA96C9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9" name="TextBox 1">
          <a:extLst>
            <a:ext uri="{FF2B5EF4-FFF2-40B4-BE49-F238E27FC236}">
              <a16:creationId xmlns:a16="http://schemas.microsoft.com/office/drawing/2014/main" id="{A4C19556-9A50-4E6D-B63E-17FEA8AD5CC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0" name="TextBox 1">
          <a:extLst>
            <a:ext uri="{FF2B5EF4-FFF2-40B4-BE49-F238E27FC236}">
              <a16:creationId xmlns:a16="http://schemas.microsoft.com/office/drawing/2014/main" id="{F5EF5E68-FE87-44B7-92D7-381851FD59C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BCEC2AC1-D82D-417F-85F4-6694B10FA8B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302A4A39-0322-483A-BF93-AA14620D215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3" name="TextBox 1">
          <a:extLst>
            <a:ext uri="{FF2B5EF4-FFF2-40B4-BE49-F238E27FC236}">
              <a16:creationId xmlns:a16="http://schemas.microsoft.com/office/drawing/2014/main" id="{D4B232D5-3F34-4DDE-B5A2-F2867763215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4" name="TextBox 1">
          <a:extLst>
            <a:ext uri="{FF2B5EF4-FFF2-40B4-BE49-F238E27FC236}">
              <a16:creationId xmlns:a16="http://schemas.microsoft.com/office/drawing/2014/main" id="{9895EF40-6B1D-4C97-A069-2096BC464B3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24E60F1C-F074-4037-B71A-2E3BE2BB28F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42D2EC49-4737-4211-BC89-0F86277714F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7" name="TextBox 1">
          <a:extLst>
            <a:ext uri="{FF2B5EF4-FFF2-40B4-BE49-F238E27FC236}">
              <a16:creationId xmlns:a16="http://schemas.microsoft.com/office/drawing/2014/main" id="{D442202D-724C-42C1-8C48-0FDAA583DE4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8" name="TextBox 1">
          <a:extLst>
            <a:ext uri="{FF2B5EF4-FFF2-40B4-BE49-F238E27FC236}">
              <a16:creationId xmlns:a16="http://schemas.microsoft.com/office/drawing/2014/main" id="{154DA79D-C5F5-41CD-B465-451AC7A49B6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BCBDC9D1-1758-48DC-AA7C-9C04D7F9ACB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DCA03A99-2F4F-48B6-BA67-E2BCE6095C7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1" name="TextBox 1">
          <a:extLst>
            <a:ext uri="{FF2B5EF4-FFF2-40B4-BE49-F238E27FC236}">
              <a16:creationId xmlns:a16="http://schemas.microsoft.com/office/drawing/2014/main" id="{01F9333A-305F-4D9C-A350-7D9DF00A8E9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2" name="TextBox 1">
          <a:extLst>
            <a:ext uri="{FF2B5EF4-FFF2-40B4-BE49-F238E27FC236}">
              <a16:creationId xmlns:a16="http://schemas.microsoft.com/office/drawing/2014/main" id="{EBC92C4D-7650-4AC3-AB4C-95005E1128E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A11F9A3B-E5EB-4025-8CAD-96BFA996456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24035BE5-7149-4FB9-ACF0-3B7247DF881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5" name="TextBox 1">
          <a:extLst>
            <a:ext uri="{FF2B5EF4-FFF2-40B4-BE49-F238E27FC236}">
              <a16:creationId xmlns:a16="http://schemas.microsoft.com/office/drawing/2014/main" id="{28CAD895-8255-4FD6-B4C8-DF55649BE7E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6" name="TextBox 1">
          <a:extLst>
            <a:ext uri="{FF2B5EF4-FFF2-40B4-BE49-F238E27FC236}">
              <a16:creationId xmlns:a16="http://schemas.microsoft.com/office/drawing/2014/main" id="{707647B8-1C4C-48DA-933E-1548BBE05D9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5AFF59F1-03A3-4D99-B59A-915B75B4E64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A233EDDF-13FC-4F4B-B7C5-C2C81BC6D21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9" name="TextBox 1">
          <a:extLst>
            <a:ext uri="{FF2B5EF4-FFF2-40B4-BE49-F238E27FC236}">
              <a16:creationId xmlns:a16="http://schemas.microsoft.com/office/drawing/2014/main" id="{D3ED03F4-6DF1-4464-82AE-8F2EF304547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0" name="TextBox 1">
          <a:extLst>
            <a:ext uri="{FF2B5EF4-FFF2-40B4-BE49-F238E27FC236}">
              <a16:creationId xmlns:a16="http://schemas.microsoft.com/office/drawing/2014/main" id="{5162597A-76FE-4578-842A-509584B43F6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37F2B6E1-045E-4187-A25F-DF3E93F39E5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D872759A-C360-47CB-94B8-4A894C7AD81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3" name="TextBox 1">
          <a:extLst>
            <a:ext uri="{FF2B5EF4-FFF2-40B4-BE49-F238E27FC236}">
              <a16:creationId xmlns:a16="http://schemas.microsoft.com/office/drawing/2014/main" id="{40F43553-20CB-4132-8242-AC5D6C5C1A2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4" name="TextBox 1">
          <a:extLst>
            <a:ext uri="{FF2B5EF4-FFF2-40B4-BE49-F238E27FC236}">
              <a16:creationId xmlns:a16="http://schemas.microsoft.com/office/drawing/2014/main" id="{BB3EADCA-E95C-4F30-8258-215D7609844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3C53709F-3A94-4CAF-A11C-8621368A0D8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3338503D-0FE9-4C7B-8BCE-95556EE470D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7" name="TextBox 1">
          <a:extLst>
            <a:ext uri="{FF2B5EF4-FFF2-40B4-BE49-F238E27FC236}">
              <a16:creationId xmlns:a16="http://schemas.microsoft.com/office/drawing/2014/main" id="{111C765C-180D-4531-B790-794633C8124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8" name="TextBox 1">
          <a:extLst>
            <a:ext uri="{FF2B5EF4-FFF2-40B4-BE49-F238E27FC236}">
              <a16:creationId xmlns:a16="http://schemas.microsoft.com/office/drawing/2014/main" id="{EBD7837D-AE21-4317-8507-E5F689BFE95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C0C3458E-6CEA-4E88-9AB2-6AE02042788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0" name="TextBox 1">
          <a:extLst>
            <a:ext uri="{FF2B5EF4-FFF2-40B4-BE49-F238E27FC236}">
              <a16:creationId xmlns:a16="http://schemas.microsoft.com/office/drawing/2014/main" id="{BF35391C-7D66-463D-8A07-4F1E7FDD9F6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1" name="TextBox 1">
          <a:extLst>
            <a:ext uri="{FF2B5EF4-FFF2-40B4-BE49-F238E27FC236}">
              <a16:creationId xmlns:a16="http://schemas.microsoft.com/office/drawing/2014/main" id="{7E319303-C311-49F2-B27A-5B7C8F39F95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98424B89-F598-4E0A-85D3-A6EBE2910CF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3" name="TextBox 1">
          <a:extLst>
            <a:ext uri="{FF2B5EF4-FFF2-40B4-BE49-F238E27FC236}">
              <a16:creationId xmlns:a16="http://schemas.microsoft.com/office/drawing/2014/main" id="{5567BD66-C3B4-4377-A9DF-CC0ABB34AE6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4B180261-8CB8-4A99-A0CB-14D146D42F7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5" name="TextBox 1">
          <a:extLst>
            <a:ext uri="{FF2B5EF4-FFF2-40B4-BE49-F238E27FC236}">
              <a16:creationId xmlns:a16="http://schemas.microsoft.com/office/drawing/2014/main" id="{27495B15-A90A-4C46-BCF5-EA69CB0B34C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6" name="TextBox 1">
          <a:extLst>
            <a:ext uri="{FF2B5EF4-FFF2-40B4-BE49-F238E27FC236}">
              <a16:creationId xmlns:a16="http://schemas.microsoft.com/office/drawing/2014/main" id="{3D31847A-96F2-4B2A-926D-B7D3B00CD55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435D946C-DDA9-4F8E-A2BD-4D0E3D99D59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520A651A-E378-488F-BD5F-BE09F502B02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9" name="TextBox 1">
          <a:extLst>
            <a:ext uri="{FF2B5EF4-FFF2-40B4-BE49-F238E27FC236}">
              <a16:creationId xmlns:a16="http://schemas.microsoft.com/office/drawing/2014/main" id="{F3C41EC9-BCE1-4464-8660-CA5AC1ACE99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0" name="TextBox 1">
          <a:extLst>
            <a:ext uri="{FF2B5EF4-FFF2-40B4-BE49-F238E27FC236}">
              <a16:creationId xmlns:a16="http://schemas.microsoft.com/office/drawing/2014/main" id="{A4027117-34DC-4848-B782-A4338097718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57B3CBD5-285B-44FE-AA90-699BCC4D11A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E9627802-B8F7-49D1-9465-BBDDE793841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A41CD38D-293B-41AB-893B-D640FAC343B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4" name="TextBox 1">
          <a:extLst>
            <a:ext uri="{FF2B5EF4-FFF2-40B4-BE49-F238E27FC236}">
              <a16:creationId xmlns:a16="http://schemas.microsoft.com/office/drawing/2014/main" id="{154EA6A4-6CA7-4262-898A-D5A16024BCD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5" name="TextBox 1">
          <a:extLst>
            <a:ext uri="{FF2B5EF4-FFF2-40B4-BE49-F238E27FC236}">
              <a16:creationId xmlns:a16="http://schemas.microsoft.com/office/drawing/2014/main" id="{F78C27E0-33DF-45C4-9BC2-92791B67158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6BC8B68F-93E6-498B-919F-D606F8E2651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CE92810F-A5F7-4CDE-A503-784546E182C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8" name="TextBox 1">
          <a:extLst>
            <a:ext uri="{FF2B5EF4-FFF2-40B4-BE49-F238E27FC236}">
              <a16:creationId xmlns:a16="http://schemas.microsoft.com/office/drawing/2014/main" id="{27E9316A-A970-4858-B263-0705020B3A1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9" name="TextBox 1">
          <a:extLst>
            <a:ext uri="{FF2B5EF4-FFF2-40B4-BE49-F238E27FC236}">
              <a16:creationId xmlns:a16="http://schemas.microsoft.com/office/drawing/2014/main" id="{F96114DF-6D26-47EC-AB69-1FC190F17F4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85CAA187-1C31-4A2B-87BA-EB41B490F98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62C5463D-466C-4152-A286-0C86A9AE671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2" name="TextBox 1">
          <a:extLst>
            <a:ext uri="{FF2B5EF4-FFF2-40B4-BE49-F238E27FC236}">
              <a16:creationId xmlns:a16="http://schemas.microsoft.com/office/drawing/2014/main" id="{5D104311-E9B5-49EE-94F8-2C17BCB3337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3" name="TextBox 1">
          <a:extLst>
            <a:ext uri="{FF2B5EF4-FFF2-40B4-BE49-F238E27FC236}">
              <a16:creationId xmlns:a16="http://schemas.microsoft.com/office/drawing/2014/main" id="{2B6974C9-0999-4DAD-BC32-001B63B3CB5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5B2A96EB-358B-4F08-B812-5EC0E36DD70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23AAAFD6-2481-4F13-9F4D-2B5F29C72D0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6" name="TextBox 1">
          <a:extLst>
            <a:ext uri="{FF2B5EF4-FFF2-40B4-BE49-F238E27FC236}">
              <a16:creationId xmlns:a16="http://schemas.microsoft.com/office/drawing/2014/main" id="{0B2A791A-C6F8-4188-96AF-AE845D57DDC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7" name="TextBox 1">
          <a:extLst>
            <a:ext uri="{FF2B5EF4-FFF2-40B4-BE49-F238E27FC236}">
              <a16:creationId xmlns:a16="http://schemas.microsoft.com/office/drawing/2014/main" id="{82A665E1-8BAF-46DB-91A1-626FAE7FEA8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BA9BFB09-6172-4605-A137-EBD25F08999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A4855D58-02D3-419F-A15E-A7FE628124E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0" name="TextBox 1">
          <a:extLst>
            <a:ext uri="{FF2B5EF4-FFF2-40B4-BE49-F238E27FC236}">
              <a16:creationId xmlns:a16="http://schemas.microsoft.com/office/drawing/2014/main" id="{22ADC4BF-4FF8-4B8E-8E97-B9ACB288DB8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1" name="TextBox 1">
          <a:extLst>
            <a:ext uri="{FF2B5EF4-FFF2-40B4-BE49-F238E27FC236}">
              <a16:creationId xmlns:a16="http://schemas.microsoft.com/office/drawing/2014/main" id="{BEE0B815-E462-4FBE-9C58-A95BCC79888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76409C75-5C7E-461F-8E63-DF8BD2D7E95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12B7BD2C-ECDB-4459-BC5F-FB6610CB817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4" name="TextBox 1">
          <a:extLst>
            <a:ext uri="{FF2B5EF4-FFF2-40B4-BE49-F238E27FC236}">
              <a16:creationId xmlns:a16="http://schemas.microsoft.com/office/drawing/2014/main" id="{58AC471B-8178-48FD-A230-37C1AB3A6D4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5" name="TextBox 1">
          <a:extLst>
            <a:ext uri="{FF2B5EF4-FFF2-40B4-BE49-F238E27FC236}">
              <a16:creationId xmlns:a16="http://schemas.microsoft.com/office/drawing/2014/main" id="{645E22DF-F414-44FB-9302-A325B67A1C4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0F59F773-ED33-4937-BC54-655BABB94D5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A6F3180E-BF4B-48E8-900F-D2D293F1860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8" name="TextBox 1">
          <a:extLst>
            <a:ext uri="{FF2B5EF4-FFF2-40B4-BE49-F238E27FC236}">
              <a16:creationId xmlns:a16="http://schemas.microsoft.com/office/drawing/2014/main" id="{409365B0-ECE8-4EE1-9D7D-4E31BB43ADC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9" name="TextBox 1">
          <a:extLst>
            <a:ext uri="{FF2B5EF4-FFF2-40B4-BE49-F238E27FC236}">
              <a16:creationId xmlns:a16="http://schemas.microsoft.com/office/drawing/2014/main" id="{04C92AE8-2A28-4EC2-AF7D-497132913D1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FCE34976-437E-4EC8-BFF3-83071083748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9CF409E3-DB94-460E-9C6D-1C9EECDA0C2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2" name="TextBox 1">
          <a:extLst>
            <a:ext uri="{FF2B5EF4-FFF2-40B4-BE49-F238E27FC236}">
              <a16:creationId xmlns:a16="http://schemas.microsoft.com/office/drawing/2014/main" id="{FF032FA8-BAF7-4283-9A9E-0FAABF79436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3" name="TextBox 1">
          <a:extLst>
            <a:ext uri="{FF2B5EF4-FFF2-40B4-BE49-F238E27FC236}">
              <a16:creationId xmlns:a16="http://schemas.microsoft.com/office/drawing/2014/main" id="{C3B1EE4C-D7CB-41A3-A3BF-D4F4C2069F3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8325A977-D8BD-4CDF-B64E-A09CD3FDE1F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265B396B-3975-4F36-82B2-BC18B7F3722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6" name="TextBox 1">
          <a:extLst>
            <a:ext uri="{FF2B5EF4-FFF2-40B4-BE49-F238E27FC236}">
              <a16:creationId xmlns:a16="http://schemas.microsoft.com/office/drawing/2014/main" id="{07FE3396-7A8B-4434-8D7D-D52F0F975C3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7" name="TextBox 1">
          <a:extLst>
            <a:ext uri="{FF2B5EF4-FFF2-40B4-BE49-F238E27FC236}">
              <a16:creationId xmlns:a16="http://schemas.microsoft.com/office/drawing/2014/main" id="{51F1F2DF-76C1-4CAE-B23C-D79267EA19E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DC451986-B5F0-466F-9027-83C15487638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14B71DEA-C0AC-4D17-BF62-6B349576C42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B52B072F-E614-4C57-9D6F-89BA34864CD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1" name="TextBox 1">
          <a:extLst>
            <a:ext uri="{FF2B5EF4-FFF2-40B4-BE49-F238E27FC236}">
              <a16:creationId xmlns:a16="http://schemas.microsoft.com/office/drawing/2014/main" id="{C681A7DF-3270-4905-BE85-B150A9D68EB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2" name="TextBox 1">
          <a:extLst>
            <a:ext uri="{FF2B5EF4-FFF2-40B4-BE49-F238E27FC236}">
              <a16:creationId xmlns:a16="http://schemas.microsoft.com/office/drawing/2014/main" id="{85C32CF0-505E-496E-8EB5-3CB5D1AF0EB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FA74201C-07A8-421F-BDD6-69E68EE84E0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526A0AE9-F960-4357-9BF3-83CEE151B2D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5" name="TextBox 1">
          <a:extLst>
            <a:ext uri="{FF2B5EF4-FFF2-40B4-BE49-F238E27FC236}">
              <a16:creationId xmlns:a16="http://schemas.microsoft.com/office/drawing/2014/main" id="{A61B9C2B-4B5A-4295-9BAE-5A20D298FCB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6" name="TextBox 1">
          <a:extLst>
            <a:ext uri="{FF2B5EF4-FFF2-40B4-BE49-F238E27FC236}">
              <a16:creationId xmlns:a16="http://schemas.microsoft.com/office/drawing/2014/main" id="{00128DBF-675D-4249-A043-852758A484A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E6F7FCE8-1DCB-4C62-8D82-198E916580A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99309546-E4A9-4FED-B3C3-BE01A901262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9" name="TextBox 1">
          <a:extLst>
            <a:ext uri="{FF2B5EF4-FFF2-40B4-BE49-F238E27FC236}">
              <a16:creationId xmlns:a16="http://schemas.microsoft.com/office/drawing/2014/main" id="{FB61CA6D-4AC8-4FB2-B10F-B796F9B25AF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0" name="TextBox 1">
          <a:extLst>
            <a:ext uri="{FF2B5EF4-FFF2-40B4-BE49-F238E27FC236}">
              <a16:creationId xmlns:a16="http://schemas.microsoft.com/office/drawing/2014/main" id="{2A3B8FCB-CBB4-4719-9408-3E8D26566F4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F410C2EF-D827-459B-92C1-12A388780FA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05BAED5E-BFAC-4724-8468-8B1A36BBFD5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3" name="TextBox 1">
          <a:extLst>
            <a:ext uri="{FF2B5EF4-FFF2-40B4-BE49-F238E27FC236}">
              <a16:creationId xmlns:a16="http://schemas.microsoft.com/office/drawing/2014/main" id="{93259F25-5333-4146-8B82-00341D600AF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4" name="TextBox 1">
          <a:extLst>
            <a:ext uri="{FF2B5EF4-FFF2-40B4-BE49-F238E27FC236}">
              <a16:creationId xmlns:a16="http://schemas.microsoft.com/office/drawing/2014/main" id="{72A44366-EB62-4185-85B3-74ABF0CA35D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FFF5600A-4FA9-4C29-BF1F-12A1D5B376F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C79E5D2E-E54A-46E6-9B71-23E4498CA9E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7" name="TextBox 1">
          <a:extLst>
            <a:ext uri="{FF2B5EF4-FFF2-40B4-BE49-F238E27FC236}">
              <a16:creationId xmlns:a16="http://schemas.microsoft.com/office/drawing/2014/main" id="{F4A01126-AEAA-47B7-ADB2-562BA77595E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8" name="TextBox 1">
          <a:extLst>
            <a:ext uri="{FF2B5EF4-FFF2-40B4-BE49-F238E27FC236}">
              <a16:creationId xmlns:a16="http://schemas.microsoft.com/office/drawing/2014/main" id="{806EA18A-9569-483F-A6B4-852E56AC979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DA53E208-7184-4F74-8D5F-FEACC7DFE26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8DB7F62F-089E-4CC9-9BF5-38528D2B488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1" name="TextBox 1">
          <a:extLst>
            <a:ext uri="{FF2B5EF4-FFF2-40B4-BE49-F238E27FC236}">
              <a16:creationId xmlns:a16="http://schemas.microsoft.com/office/drawing/2014/main" id="{6451EDB1-20DE-49B4-8ADC-5F9295D8C50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2" name="TextBox 1">
          <a:extLst>
            <a:ext uri="{FF2B5EF4-FFF2-40B4-BE49-F238E27FC236}">
              <a16:creationId xmlns:a16="http://schemas.microsoft.com/office/drawing/2014/main" id="{61A5D646-F125-4626-B4E5-B61AC1BC7C1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C19C9BC7-8F09-4298-96EF-E0853D6C24A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682A92BA-F75D-4295-95A1-01897AEBBAE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5" name="TextBox 1">
          <a:extLst>
            <a:ext uri="{FF2B5EF4-FFF2-40B4-BE49-F238E27FC236}">
              <a16:creationId xmlns:a16="http://schemas.microsoft.com/office/drawing/2014/main" id="{FC0837C4-604F-4E70-AC3F-D89947E80B1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6" name="TextBox 1">
          <a:extLst>
            <a:ext uri="{FF2B5EF4-FFF2-40B4-BE49-F238E27FC236}">
              <a16:creationId xmlns:a16="http://schemas.microsoft.com/office/drawing/2014/main" id="{ABDA437C-E5D0-4EED-833F-2B993531029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2B316C4F-921F-4740-BE93-EC01DDE22BF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208A3FDD-E060-4401-BBA8-A7C418517C9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9" name="TextBox 1">
          <a:extLst>
            <a:ext uri="{FF2B5EF4-FFF2-40B4-BE49-F238E27FC236}">
              <a16:creationId xmlns:a16="http://schemas.microsoft.com/office/drawing/2014/main" id="{CD6FA5EB-D202-4A0F-A78C-95E47430052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0" name="TextBox 1">
          <a:extLst>
            <a:ext uri="{FF2B5EF4-FFF2-40B4-BE49-F238E27FC236}">
              <a16:creationId xmlns:a16="http://schemas.microsoft.com/office/drawing/2014/main" id="{4D498831-6DA8-458A-80DC-CE80CB673C3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4A0F614C-06F5-4220-8CF2-12A60073BD9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F9AF458A-615C-41F0-B8B8-48F267F4D3E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3" name="TextBox 1">
          <a:extLst>
            <a:ext uri="{FF2B5EF4-FFF2-40B4-BE49-F238E27FC236}">
              <a16:creationId xmlns:a16="http://schemas.microsoft.com/office/drawing/2014/main" id="{C8252924-220A-4A8F-AE73-9A3DDF82908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4" name="TextBox 1">
          <a:extLst>
            <a:ext uri="{FF2B5EF4-FFF2-40B4-BE49-F238E27FC236}">
              <a16:creationId xmlns:a16="http://schemas.microsoft.com/office/drawing/2014/main" id="{4C13603B-37F6-4CAB-B6D6-807B546CCCC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F5D5BDCE-CC6A-41F3-856E-5910DFE1DCD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B4C806F4-9DFE-4181-9BA9-77A2D92CC1F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7" name="TextBox 1">
          <a:extLst>
            <a:ext uri="{FF2B5EF4-FFF2-40B4-BE49-F238E27FC236}">
              <a16:creationId xmlns:a16="http://schemas.microsoft.com/office/drawing/2014/main" id="{4B2AB2B1-AF7C-4A45-BFD2-82CA0F872DF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8" name="TextBox 1">
          <a:extLst>
            <a:ext uri="{FF2B5EF4-FFF2-40B4-BE49-F238E27FC236}">
              <a16:creationId xmlns:a16="http://schemas.microsoft.com/office/drawing/2014/main" id="{2602F25C-EF69-4C51-AC5D-D4AB26A9388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EC5FC7C5-AE83-4265-A3AD-25BCF4B93D4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AB8B2CC6-D568-4DE0-B485-ECCE4DB581D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1" name="TextBox 1">
          <a:extLst>
            <a:ext uri="{FF2B5EF4-FFF2-40B4-BE49-F238E27FC236}">
              <a16:creationId xmlns:a16="http://schemas.microsoft.com/office/drawing/2014/main" id="{299D69BC-95DD-4768-9A47-35CC10B606C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2" name="TextBox 1">
          <a:extLst>
            <a:ext uri="{FF2B5EF4-FFF2-40B4-BE49-F238E27FC236}">
              <a16:creationId xmlns:a16="http://schemas.microsoft.com/office/drawing/2014/main" id="{EDBA7A46-74BB-48C4-B35C-569D62445B2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5AF2CE89-A420-4C15-A89C-CA7B047E54A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F3EE0811-07C9-4B91-AAA4-F390A9D914E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F49EB2D1-A6A8-4A7C-B794-4E12A1B4A06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6" name="TextBox 1">
          <a:extLst>
            <a:ext uri="{FF2B5EF4-FFF2-40B4-BE49-F238E27FC236}">
              <a16:creationId xmlns:a16="http://schemas.microsoft.com/office/drawing/2014/main" id="{E76A8A48-FEF0-43CD-B6C2-8C02043FBB3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7" name="TextBox 1">
          <a:extLst>
            <a:ext uri="{FF2B5EF4-FFF2-40B4-BE49-F238E27FC236}">
              <a16:creationId xmlns:a16="http://schemas.microsoft.com/office/drawing/2014/main" id="{B893A2B4-2282-415F-9D5E-198EFBD02C1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1421BDC1-B564-4BF7-AB19-DCAC14934F9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E87E7BB2-60B0-4376-8392-8B6272C186B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0" name="TextBox 1">
          <a:extLst>
            <a:ext uri="{FF2B5EF4-FFF2-40B4-BE49-F238E27FC236}">
              <a16:creationId xmlns:a16="http://schemas.microsoft.com/office/drawing/2014/main" id="{CEDB1B34-9387-4360-B972-99C4F216A6B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1" name="TextBox 1">
          <a:extLst>
            <a:ext uri="{FF2B5EF4-FFF2-40B4-BE49-F238E27FC236}">
              <a16:creationId xmlns:a16="http://schemas.microsoft.com/office/drawing/2014/main" id="{A7F390CD-1305-4C84-9866-8F3B4821843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AE72814B-82E6-42C5-AF38-F7688D4585D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22C4A995-3A9C-4E6F-BF2C-27AC939C28D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4" name="TextBox 1">
          <a:extLst>
            <a:ext uri="{FF2B5EF4-FFF2-40B4-BE49-F238E27FC236}">
              <a16:creationId xmlns:a16="http://schemas.microsoft.com/office/drawing/2014/main" id="{8F36366C-5F92-41B9-80A3-8D868482D3E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5" name="TextBox 1">
          <a:extLst>
            <a:ext uri="{FF2B5EF4-FFF2-40B4-BE49-F238E27FC236}">
              <a16:creationId xmlns:a16="http://schemas.microsoft.com/office/drawing/2014/main" id="{335A3669-B677-4B6A-8338-53167D3CD21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3E4B4F96-CE48-4972-8246-F2515CE27C5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71FC329F-4C17-4414-99C8-6A731C3DC93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8" name="TextBox 1">
          <a:extLst>
            <a:ext uri="{FF2B5EF4-FFF2-40B4-BE49-F238E27FC236}">
              <a16:creationId xmlns:a16="http://schemas.microsoft.com/office/drawing/2014/main" id="{3DE09F45-2881-4B4E-997D-C1B59314014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9" name="TextBox 1">
          <a:extLst>
            <a:ext uri="{FF2B5EF4-FFF2-40B4-BE49-F238E27FC236}">
              <a16:creationId xmlns:a16="http://schemas.microsoft.com/office/drawing/2014/main" id="{32084594-159E-4E93-9640-33BD5559A8D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0E6DDA31-D4DB-4FF5-BF67-56F2DB98C57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78B793A5-D41C-4CAF-8F1D-2FE01AD8703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2" name="TextBox 1">
          <a:extLst>
            <a:ext uri="{FF2B5EF4-FFF2-40B4-BE49-F238E27FC236}">
              <a16:creationId xmlns:a16="http://schemas.microsoft.com/office/drawing/2014/main" id="{B0296868-E07F-4543-8835-52B7481B6B0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3" name="TextBox 1">
          <a:extLst>
            <a:ext uri="{FF2B5EF4-FFF2-40B4-BE49-F238E27FC236}">
              <a16:creationId xmlns:a16="http://schemas.microsoft.com/office/drawing/2014/main" id="{6D4DF874-F741-4262-B19A-BFBD1910D0E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DA738689-22B2-4B44-BBE6-7F7258EEC53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B1A03A11-8309-42C3-877A-3FD5CAE12DA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6" name="TextBox 1">
          <a:extLst>
            <a:ext uri="{FF2B5EF4-FFF2-40B4-BE49-F238E27FC236}">
              <a16:creationId xmlns:a16="http://schemas.microsoft.com/office/drawing/2014/main" id="{0734BC50-B704-4F02-A0DF-507C026561D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7" name="TextBox 1">
          <a:extLst>
            <a:ext uri="{FF2B5EF4-FFF2-40B4-BE49-F238E27FC236}">
              <a16:creationId xmlns:a16="http://schemas.microsoft.com/office/drawing/2014/main" id="{BF925E23-04CF-48A4-B0D8-232298E42B9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36917B85-5F17-4C85-A79D-B423D1165DC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3E1E296B-F7A1-4809-BFED-92351EABF59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0" name="TextBox 1">
          <a:extLst>
            <a:ext uri="{FF2B5EF4-FFF2-40B4-BE49-F238E27FC236}">
              <a16:creationId xmlns:a16="http://schemas.microsoft.com/office/drawing/2014/main" id="{B6F7EE40-3FA2-4285-9534-F1E6FF0D144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1" name="TextBox 1">
          <a:extLst>
            <a:ext uri="{FF2B5EF4-FFF2-40B4-BE49-F238E27FC236}">
              <a16:creationId xmlns:a16="http://schemas.microsoft.com/office/drawing/2014/main" id="{335AB93A-DA56-46E9-9E71-AEAF99CDB70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88EC4018-B2E4-4671-8384-D0C48ADBE9C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AE1EC093-0F68-4FAF-93E8-7EB590E242D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4" name="TextBox 1">
          <a:extLst>
            <a:ext uri="{FF2B5EF4-FFF2-40B4-BE49-F238E27FC236}">
              <a16:creationId xmlns:a16="http://schemas.microsoft.com/office/drawing/2014/main" id="{5B5735A5-0AED-44CE-800D-6702B25B216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5" name="TextBox 1">
          <a:extLst>
            <a:ext uri="{FF2B5EF4-FFF2-40B4-BE49-F238E27FC236}">
              <a16:creationId xmlns:a16="http://schemas.microsoft.com/office/drawing/2014/main" id="{0230AB0D-C15B-4333-BDDA-C3D9F27F1CA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63334556-7E6C-417A-8DFC-E85685EAE7B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DC8F1F02-4BCD-46F5-B607-18FBDCA58C9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8" name="TextBox 1">
          <a:extLst>
            <a:ext uri="{FF2B5EF4-FFF2-40B4-BE49-F238E27FC236}">
              <a16:creationId xmlns:a16="http://schemas.microsoft.com/office/drawing/2014/main" id="{9E7272C1-C288-4240-A075-873DC2D8517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9" name="TextBox 1">
          <a:extLst>
            <a:ext uri="{FF2B5EF4-FFF2-40B4-BE49-F238E27FC236}">
              <a16:creationId xmlns:a16="http://schemas.microsoft.com/office/drawing/2014/main" id="{9029D76D-F85C-41AC-8B22-57DFDA8A36A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D5D2B5AE-3B73-405C-972F-07ECB5EC872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1" name="TextBox 1">
          <a:extLst>
            <a:ext uri="{FF2B5EF4-FFF2-40B4-BE49-F238E27FC236}">
              <a16:creationId xmlns:a16="http://schemas.microsoft.com/office/drawing/2014/main" id="{FB7CE076-E474-4115-93B4-878B994241D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2" name="TextBox 1">
          <a:extLst>
            <a:ext uri="{FF2B5EF4-FFF2-40B4-BE49-F238E27FC236}">
              <a16:creationId xmlns:a16="http://schemas.microsoft.com/office/drawing/2014/main" id="{F3F793A5-0FFC-4AA2-A223-A02B3D61E60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68CB3BDD-2FF7-49A0-A8CF-634BBE58288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4" name="TextBox 1">
          <a:extLst>
            <a:ext uri="{FF2B5EF4-FFF2-40B4-BE49-F238E27FC236}">
              <a16:creationId xmlns:a16="http://schemas.microsoft.com/office/drawing/2014/main" id="{0269C36F-63A0-4039-8E20-2E2446FE80B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3D2E30A9-382E-45B8-9A95-B23CF356EDE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6" name="TextBox 1">
          <a:extLst>
            <a:ext uri="{FF2B5EF4-FFF2-40B4-BE49-F238E27FC236}">
              <a16:creationId xmlns:a16="http://schemas.microsoft.com/office/drawing/2014/main" id="{89B7DB62-36DB-4197-92B4-229C3985B7F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7" name="TextBox 1">
          <a:extLst>
            <a:ext uri="{FF2B5EF4-FFF2-40B4-BE49-F238E27FC236}">
              <a16:creationId xmlns:a16="http://schemas.microsoft.com/office/drawing/2014/main" id="{B93E597E-AD71-412E-B963-EF5C8B978A9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33BFB107-BBA4-4732-BCFA-1831B28DE97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D944567E-1A36-4707-8DFE-F057AFBD75B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0" name="TextBox 1">
          <a:extLst>
            <a:ext uri="{FF2B5EF4-FFF2-40B4-BE49-F238E27FC236}">
              <a16:creationId xmlns:a16="http://schemas.microsoft.com/office/drawing/2014/main" id="{FE6A906C-101C-4EF1-B858-A028863B390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1" name="TextBox 1">
          <a:extLst>
            <a:ext uri="{FF2B5EF4-FFF2-40B4-BE49-F238E27FC236}">
              <a16:creationId xmlns:a16="http://schemas.microsoft.com/office/drawing/2014/main" id="{584175DA-DF76-4768-9426-E6970FBA1B3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0A4FE409-0F0C-4AD7-9E31-F09A3714011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D2D6DC27-25D3-47B8-B376-0683D239C29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6303761A-B2B5-41D2-B6CC-135DE20A8A1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5" name="TextBox 1">
          <a:extLst>
            <a:ext uri="{FF2B5EF4-FFF2-40B4-BE49-F238E27FC236}">
              <a16:creationId xmlns:a16="http://schemas.microsoft.com/office/drawing/2014/main" id="{184F20A9-7D27-44D4-BD06-7D73F0DEBDA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6" name="TextBox 1">
          <a:extLst>
            <a:ext uri="{FF2B5EF4-FFF2-40B4-BE49-F238E27FC236}">
              <a16:creationId xmlns:a16="http://schemas.microsoft.com/office/drawing/2014/main" id="{BD8694AA-7E2C-40F2-B5D8-E6D0839F9E5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F3925BFB-4C98-4884-8CCE-CDEE21AFD5B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7478D572-23CD-47B5-8C42-EBA50354DB1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9" name="TextBox 1">
          <a:extLst>
            <a:ext uri="{FF2B5EF4-FFF2-40B4-BE49-F238E27FC236}">
              <a16:creationId xmlns:a16="http://schemas.microsoft.com/office/drawing/2014/main" id="{00C64B9A-DFE1-4A55-BBF9-DC80108718B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0" name="TextBox 1">
          <a:extLst>
            <a:ext uri="{FF2B5EF4-FFF2-40B4-BE49-F238E27FC236}">
              <a16:creationId xmlns:a16="http://schemas.microsoft.com/office/drawing/2014/main" id="{E992CF6E-F94C-45BC-B24B-B797998ED9B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7E5C41E9-1050-47C4-914F-FEEFF07C3C4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79A7DAC6-4AEF-4019-A5BF-BD62AF788A3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3" name="TextBox 1">
          <a:extLst>
            <a:ext uri="{FF2B5EF4-FFF2-40B4-BE49-F238E27FC236}">
              <a16:creationId xmlns:a16="http://schemas.microsoft.com/office/drawing/2014/main" id="{55F1F6BF-70E2-40CA-850D-FF6BD5C8578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4" name="TextBox 1">
          <a:extLst>
            <a:ext uri="{FF2B5EF4-FFF2-40B4-BE49-F238E27FC236}">
              <a16:creationId xmlns:a16="http://schemas.microsoft.com/office/drawing/2014/main" id="{0FD47F32-D1C1-4CEC-B929-388D1F6F559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2370C8B2-6AA3-4714-9832-65DAFFD20FA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91409B2C-F8C9-4335-A2D3-97D328439A0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7" name="TextBox 1">
          <a:extLst>
            <a:ext uri="{FF2B5EF4-FFF2-40B4-BE49-F238E27FC236}">
              <a16:creationId xmlns:a16="http://schemas.microsoft.com/office/drawing/2014/main" id="{FA2CF9F6-63E4-4AC7-A439-C681A2B2D1A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8" name="TextBox 1">
          <a:extLst>
            <a:ext uri="{FF2B5EF4-FFF2-40B4-BE49-F238E27FC236}">
              <a16:creationId xmlns:a16="http://schemas.microsoft.com/office/drawing/2014/main" id="{64C8CE1C-0619-417B-8568-38D306A063D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EA0E75E7-855F-405C-8483-A95C500C390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1BA6E31D-51A5-4037-89D0-7D12DD3E787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1" name="TextBox 1">
          <a:extLst>
            <a:ext uri="{FF2B5EF4-FFF2-40B4-BE49-F238E27FC236}">
              <a16:creationId xmlns:a16="http://schemas.microsoft.com/office/drawing/2014/main" id="{0D2F93D6-84B5-4BA4-9A2D-C22CADC45B6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2" name="TextBox 1">
          <a:extLst>
            <a:ext uri="{FF2B5EF4-FFF2-40B4-BE49-F238E27FC236}">
              <a16:creationId xmlns:a16="http://schemas.microsoft.com/office/drawing/2014/main" id="{02E063CA-D253-4642-BBA4-2D12888EE81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3E5E9CBB-488F-43FE-991B-833490E15A6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B4EF566F-42DE-4BB5-93E1-868A9F26A3F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5" name="TextBox 1">
          <a:extLst>
            <a:ext uri="{FF2B5EF4-FFF2-40B4-BE49-F238E27FC236}">
              <a16:creationId xmlns:a16="http://schemas.microsoft.com/office/drawing/2014/main" id="{C40DBDEA-5619-4F2C-BD33-CB7886020A7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6" name="TextBox 1">
          <a:extLst>
            <a:ext uri="{FF2B5EF4-FFF2-40B4-BE49-F238E27FC236}">
              <a16:creationId xmlns:a16="http://schemas.microsoft.com/office/drawing/2014/main" id="{68091141-7D1F-4582-84A1-0C72F6CD81B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0FA3801C-667E-4ADD-BC9B-1EFFF0D4F5BC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04DD4B01-CE7C-4127-B9D2-B67F7AE700C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9" name="TextBox 1">
          <a:extLst>
            <a:ext uri="{FF2B5EF4-FFF2-40B4-BE49-F238E27FC236}">
              <a16:creationId xmlns:a16="http://schemas.microsoft.com/office/drawing/2014/main" id="{DF551844-5339-480C-95AD-9A40E485139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0" name="TextBox 1">
          <a:extLst>
            <a:ext uri="{FF2B5EF4-FFF2-40B4-BE49-F238E27FC236}">
              <a16:creationId xmlns:a16="http://schemas.microsoft.com/office/drawing/2014/main" id="{FF4EBF01-26AA-4EA1-B687-261F22FA1DC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381CCA1D-1699-471F-B8E0-1DC98E93279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AC768B13-E01D-4FE3-A489-C9ABDE81E09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3" name="TextBox 1">
          <a:extLst>
            <a:ext uri="{FF2B5EF4-FFF2-40B4-BE49-F238E27FC236}">
              <a16:creationId xmlns:a16="http://schemas.microsoft.com/office/drawing/2014/main" id="{A9E37E09-136F-470F-B156-A38F3D50BC5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4" name="TextBox 1">
          <a:extLst>
            <a:ext uri="{FF2B5EF4-FFF2-40B4-BE49-F238E27FC236}">
              <a16:creationId xmlns:a16="http://schemas.microsoft.com/office/drawing/2014/main" id="{90BE874A-636E-47C8-A288-AC417B38A7D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B11D18C8-AE1E-49BC-A1D5-1366A4AA532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081BC1D1-4B76-45E4-B9CB-145DAD7B640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7" name="TextBox 1">
          <a:extLst>
            <a:ext uri="{FF2B5EF4-FFF2-40B4-BE49-F238E27FC236}">
              <a16:creationId xmlns:a16="http://schemas.microsoft.com/office/drawing/2014/main" id="{877F4F3E-3E01-4403-BF65-B7F892956BE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8" name="TextBox 1">
          <a:extLst>
            <a:ext uri="{FF2B5EF4-FFF2-40B4-BE49-F238E27FC236}">
              <a16:creationId xmlns:a16="http://schemas.microsoft.com/office/drawing/2014/main" id="{74EFD5A6-5490-4B81-820B-7224C6312EF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E469E628-3145-495B-A767-C8A59005DE6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15A4F9C0-85F0-4951-885D-BE936A102F7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46A464C6-912B-4119-9B98-84F7EF7066E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2" name="TextBox 1">
          <a:extLst>
            <a:ext uri="{FF2B5EF4-FFF2-40B4-BE49-F238E27FC236}">
              <a16:creationId xmlns:a16="http://schemas.microsoft.com/office/drawing/2014/main" id="{097A10F0-4E64-4D6E-B49B-C9F8CB4E85B3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3" name="TextBox 1">
          <a:extLst>
            <a:ext uri="{FF2B5EF4-FFF2-40B4-BE49-F238E27FC236}">
              <a16:creationId xmlns:a16="http://schemas.microsoft.com/office/drawing/2014/main" id="{F779A00A-7574-465E-A41D-A5EC6320C61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A996EE42-33E5-454A-B016-F7E35352C72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59162298-4B14-49D6-BA3D-7F0B69D5388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6" name="TextBox 1">
          <a:extLst>
            <a:ext uri="{FF2B5EF4-FFF2-40B4-BE49-F238E27FC236}">
              <a16:creationId xmlns:a16="http://schemas.microsoft.com/office/drawing/2014/main" id="{CF0AC063-49C7-4438-B652-74AA5F16D7B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7" name="TextBox 1">
          <a:extLst>
            <a:ext uri="{FF2B5EF4-FFF2-40B4-BE49-F238E27FC236}">
              <a16:creationId xmlns:a16="http://schemas.microsoft.com/office/drawing/2014/main" id="{1213D011-7A4A-4347-BF94-91D901FFB7B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24444045-E765-477E-B264-828BF109A6C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F7C2FAF7-9BA1-46A5-BB6C-2DE5A4C383D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0" name="TextBox 1">
          <a:extLst>
            <a:ext uri="{FF2B5EF4-FFF2-40B4-BE49-F238E27FC236}">
              <a16:creationId xmlns:a16="http://schemas.microsoft.com/office/drawing/2014/main" id="{85908E1C-6BC0-44F0-81D0-5E1BDB5677EF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1" name="TextBox 1">
          <a:extLst>
            <a:ext uri="{FF2B5EF4-FFF2-40B4-BE49-F238E27FC236}">
              <a16:creationId xmlns:a16="http://schemas.microsoft.com/office/drawing/2014/main" id="{4487D6EE-0458-48F5-BDD0-B69ACFF78C4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9521A0AB-C5FB-4445-9A37-FD19564CA5C6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A3042593-E962-4491-9352-6B2F3C20EEE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4" name="TextBox 1">
          <a:extLst>
            <a:ext uri="{FF2B5EF4-FFF2-40B4-BE49-F238E27FC236}">
              <a16:creationId xmlns:a16="http://schemas.microsoft.com/office/drawing/2014/main" id="{9601579C-6CF5-4EDA-9D0C-C124339B297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5" name="TextBox 1">
          <a:extLst>
            <a:ext uri="{FF2B5EF4-FFF2-40B4-BE49-F238E27FC236}">
              <a16:creationId xmlns:a16="http://schemas.microsoft.com/office/drawing/2014/main" id="{22800602-2FAA-4C88-A4AC-9061365A150D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182594E5-4934-4944-ADE4-7AA640524A4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1BE6D4D9-C9FF-415A-9632-218BCED5408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8" name="TextBox 1">
          <a:extLst>
            <a:ext uri="{FF2B5EF4-FFF2-40B4-BE49-F238E27FC236}">
              <a16:creationId xmlns:a16="http://schemas.microsoft.com/office/drawing/2014/main" id="{1AEB8E47-40B8-4206-8D87-E53B3499CD2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9" name="TextBox 1">
          <a:extLst>
            <a:ext uri="{FF2B5EF4-FFF2-40B4-BE49-F238E27FC236}">
              <a16:creationId xmlns:a16="http://schemas.microsoft.com/office/drawing/2014/main" id="{DD9F97C3-5D7F-41B9-983B-5F31AA0577B2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AF4A7983-A155-49B8-BB50-0F18B852687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87DCB60A-0578-402D-B419-62AC795E47A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2" name="TextBox 1">
          <a:extLst>
            <a:ext uri="{FF2B5EF4-FFF2-40B4-BE49-F238E27FC236}">
              <a16:creationId xmlns:a16="http://schemas.microsoft.com/office/drawing/2014/main" id="{3FF32B23-A810-4671-BD14-F1958685F485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3" name="TextBox 1">
          <a:extLst>
            <a:ext uri="{FF2B5EF4-FFF2-40B4-BE49-F238E27FC236}">
              <a16:creationId xmlns:a16="http://schemas.microsoft.com/office/drawing/2014/main" id="{BB609079-DED5-497D-9147-D66160F1FEC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4EBD3D22-7FE5-449E-93AD-7ABB1BDE7F3A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AA88CB58-04EC-4A01-A19B-FF2994A4A2E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6" name="TextBox 1">
          <a:extLst>
            <a:ext uri="{FF2B5EF4-FFF2-40B4-BE49-F238E27FC236}">
              <a16:creationId xmlns:a16="http://schemas.microsoft.com/office/drawing/2014/main" id="{7085B869-2715-4AF3-993D-2B8AFFF3A90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7" name="TextBox 1">
          <a:extLst>
            <a:ext uri="{FF2B5EF4-FFF2-40B4-BE49-F238E27FC236}">
              <a16:creationId xmlns:a16="http://schemas.microsoft.com/office/drawing/2014/main" id="{3EFD1BF4-46B8-40D0-A718-8E8F16A8048B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09823A4F-BEC2-4C21-89E6-AF8C9FD93D1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6B39744B-AED9-44C3-9E95-1EEF131C4A3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60" name="TextBox 1">
          <a:extLst>
            <a:ext uri="{FF2B5EF4-FFF2-40B4-BE49-F238E27FC236}">
              <a16:creationId xmlns:a16="http://schemas.microsoft.com/office/drawing/2014/main" id="{B3EBA3AA-0B70-45EC-8377-86EE39BEE6E7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61" name="TextBox 1">
          <a:extLst>
            <a:ext uri="{FF2B5EF4-FFF2-40B4-BE49-F238E27FC236}">
              <a16:creationId xmlns:a16="http://schemas.microsoft.com/office/drawing/2014/main" id="{60C61540-2515-49C5-8CB4-6732C62D4808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D372B0C3-EC54-489F-89F0-48EEAC9E9DF4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00C4046F-36FB-4EEA-A575-F0B1BF9FC511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64" name="TextBox 1">
          <a:extLst>
            <a:ext uri="{FF2B5EF4-FFF2-40B4-BE49-F238E27FC236}">
              <a16:creationId xmlns:a16="http://schemas.microsoft.com/office/drawing/2014/main" id="{C7710B85-0887-49AA-9234-4E9642AFBE79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65" name="TextBox 1">
          <a:extLst>
            <a:ext uri="{FF2B5EF4-FFF2-40B4-BE49-F238E27FC236}">
              <a16:creationId xmlns:a16="http://schemas.microsoft.com/office/drawing/2014/main" id="{B7E775F8-5B9C-4B39-B42F-AA32AB00ADFE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06937ED4-61D4-4680-A715-2406E1C07D90}"/>
            </a:ext>
          </a:extLst>
        </xdr:cNvPr>
        <xdr:cNvSpPr txBox="1"/>
      </xdr:nvSpPr>
      <xdr:spPr>
        <a:xfrm>
          <a:off x="11336383" y="11536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25C0F2D6-CF29-4CFE-BA32-BD18DCFB02C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68" name="TextBox 1">
          <a:extLst>
            <a:ext uri="{FF2B5EF4-FFF2-40B4-BE49-F238E27FC236}">
              <a16:creationId xmlns:a16="http://schemas.microsoft.com/office/drawing/2014/main" id="{97C85257-F35A-4FD1-BEFA-BD250D12964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69" name="TextBox 1">
          <a:extLst>
            <a:ext uri="{FF2B5EF4-FFF2-40B4-BE49-F238E27FC236}">
              <a16:creationId xmlns:a16="http://schemas.microsoft.com/office/drawing/2014/main" id="{0A55F34D-6F88-4A6D-8F53-52322411932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B9E82765-E67D-43F4-891D-DAE9A043755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FA7CBDA1-48FA-4B00-9334-81BB17CD6CC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2" name="TextBox 1">
          <a:extLst>
            <a:ext uri="{FF2B5EF4-FFF2-40B4-BE49-F238E27FC236}">
              <a16:creationId xmlns:a16="http://schemas.microsoft.com/office/drawing/2014/main" id="{018F9780-7010-4485-BA14-3ABF7412869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3" name="TextBox 1">
          <a:extLst>
            <a:ext uri="{FF2B5EF4-FFF2-40B4-BE49-F238E27FC236}">
              <a16:creationId xmlns:a16="http://schemas.microsoft.com/office/drawing/2014/main" id="{D4AC840D-0964-446E-A0B3-61F18340815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F916390E-14A0-43C0-9846-E7B0119B86C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A70B6BB2-2233-4C79-9E47-8E1558196EE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2CE7439D-1F65-46DF-9E80-2F6D657717E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7" name="TextBox 1">
          <a:extLst>
            <a:ext uri="{FF2B5EF4-FFF2-40B4-BE49-F238E27FC236}">
              <a16:creationId xmlns:a16="http://schemas.microsoft.com/office/drawing/2014/main" id="{9E38BE03-3118-42C8-91BF-AB1475B57F2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8" name="TextBox 1">
          <a:extLst>
            <a:ext uri="{FF2B5EF4-FFF2-40B4-BE49-F238E27FC236}">
              <a16:creationId xmlns:a16="http://schemas.microsoft.com/office/drawing/2014/main" id="{B891A60E-05F8-4F27-960B-5B6065C4858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8A91C78A-C299-4B83-BA7D-0C03BDA6B2E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D3D5F53D-3863-450E-A22D-C3C70513313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1" name="TextBox 1">
          <a:extLst>
            <a:ext uri="{FF2B5EF4-FFF2-40B4-BE49-F238E27FC236}">
              <a16:creationId xmlns:a16="http://schemas.microsoft.com/office/drawing/2014/main" id="{9E64E9C8-690A-467A-A1FC-7D2D9593B4E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2" name="TextBox 1">
          <a:extLst>
            <a:ext uri="{FF2B5EF4-FFF2-40B4-BE49-F238E27FC236}">
              <a16:creationId xmlns:a16="http://schemas.microsoft.com/office/drawing/2014/main" id="{8EE061D2-AF0D-4731-A679-2222EF1EC9B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7E86B3A9-5AD4-4320-B95A-900DE182F58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F0AF9772-5682-49D2-958E-3B7F3462FD5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5" name="TextBox 1">
          <a:extLst>
            <a:ext uri="{FF2B5EF4-FFF2-40B4-BE49-F238E27FC236}">
              <a16:creationId xmlns:a16="http://schemas.microsoft.com/office/drawing/2014/main" id="{B85CF5FF-38D5-4B34-BB6A-D9D8B775615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6" name="TextBox 1">
          <a:extLst>
            <a:ext uri="{FF2B5EF4-FFF2-40B4-BE49-F238E27FC236}">
              <a16:creationId xmlns:a16="http://schemas.microsoft.com/office/drawing/2014/main" id="{427FC9FC-2AAC-4353-8EDA-BE1A3B50BEB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A6B7ECD1-67E4-46DD-A975-D4652CC83F0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002ABB45-CA32-460B-8424-D00F5B345AD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9" name="TextBox 1">
          <a:extLst>
            <a:ext uri="{FF2B5EF4-FFF2-40B4-BE49-F238E27FC236}">
              <a16:creationId xmlns:a16="http://schemas.microsoft.com/office/drawing/2014/main" id="{A28C4AB6-70AB-4E7F-841A-E2603600D51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0" name="TextBox 1">
          <a:extLst>
            <a:ext uri="{FF2B5EF4-FFF2-40B4-BE49-F238E27FC236}">
              <a16:creationId xmlns:a16="http://schemas.microsoft.com/office/drawing/2014/main" id="{100B410C-8211-4C39-A68D-E37ED2039D9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78215629-AC1E-483F-8029-81D3D4D9438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68D11959-D81D-4179-97BE-907E128AD65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3" name="TextBox 1">
          <a:extLst>
            <a:ext uri="{FF2B5EF4-FFF2-40B4-BE49-F238E27FC236}">
              <a16:creationId xmlns:a16="http://schemas.microsoft.com/office/drawing/2014/main" id="{62626888-9F74-4193-A587-EC6FB85CCD2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4" name="TextBox 1">
          <a:extLst>
            <a:ext uri="{FF2B5EF4-FFF2-40B4-BE49-F238E27FC236}">
              <a16:creationId xmlns:a16="http://schemas.microsoft.com/office/drawing/2014/main" id="{220330C9-8738-4746-B649-B946A9F4CF4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729F70D8-7ED7-45FE-A689-A7D95FFE0A3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4F79B503-1D3E-43AF-98BE-97592047305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7" name="TextBox 1">
          <a:extLst>
            <a:ext uri="{FF2B5EF4-FFF2-40B4-BE49-F238E27FC236}">
              <a16:creationId xmlns:a16="http://schemas.microsoft.com/office/drawing/2014/main" id="{E41940B1-E241-4CE7-9364-16EC248B92D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8" name="TextBox 1">
          <a:extLst>
            <a:ext uri="{FF2B5EF4-FFF2-40B4-BE49-F238E27FC236}">
              <a16:creationId xmlns:a16="http://schemas.microsoft.com/office/drawing/2014/main" id="{C3D151A4-47CE-42BC-AC3E-F7EDE6E5737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AFC3A12D-5304-46B3-A2ED-037FE0772D8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CF5E5D7E-8980-4836-8A73-28F750047B1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1" name="TextBox 1">
          <a:extLst>
            <a:ext uri="{FF2B5EF4-FFF2-40B4-BE49-F238E27FC236}">
              <a16:creationId xmlns:a16="http://schemas.microsoft.com/office/drawing/2014/main" id="{1C3EAD0C-D779-4C4F-94EB-844B42B85D0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2" name="TextBox 1">
          <a:extLst>
            <a:ext uri="{FF2B5EF4-FFF2-40B4-BE49-F238E27FC236}">
              <a16:creationId xmlns:a16="http://schemas.microsoft.com/office/drawing/2014/main" id="{F5AEEA97-AE07-4E8C-8534-397655BC2AA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0AD8360A-3753-4C22-982F-91B1304C72A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AEFF1FB2-7E1E-420A-A47F-56C93E5218D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5" name="TextBox 1">
          <a:extLst>
            <a:ext uri="{FF2B5EF4-FFF2-40B4-BE49-F238E27FC236}">
              <a16:creationId xmlns:a16="http://schemas.microsoft.com/office/drawing/2014/main" id="{1E2585EA-A5B4-4D65-9F40-C2591B6D261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6" name="TextBox 1">
          <a:extLst>
            <a:ext uri="{FF2B5EF4-FFF2-40B4-BE49-F238E27FC236}">
              <a16:creationId xmlns:a16="http://schemas.microsoft.com/office/drawing/2014/main" id="{0F94864E-0F82-4C37-A675-46B66D8B050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836E96F2-1ECC-47DB-B2FC-5AD74FF996D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A1DEAA8F-A614-4F37-B518-0F636F0BB75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9" name="TextBox 1">
          <a:extLst>
            <a:ext uri="{FF2B5EF4-FFF2-40B4-BE49-F238E27FC236}">
              <a16:creationId xmlns:a16="http://schemas.microsoft.com/office/drawing/2014/main" id="{F9A9355B-1767-4514-BA58-9FB852A726D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0" name="TextBox 1">
          <a:extLst>
            <a:ext uri="{FF2B5EF4-FFF2-40B4-BE49-F238E27FC236}">
              <a16:creationId xmlns:a16="http://schemas.microsoft.com/office/drawing/2014/main" id="{91B38064-CD32-44FD-B9C0-0A40718D252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9E429B74-E64B-425E-A44C-9DF60D720C4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2" name="TextBox 1">
          <a:extLst>
            <a:ext uri="{FF2B5EF4-FFF2-40B4-BE49-F238E27FC236}">
              <a16:creationId xmlns:a16="http://schemas.microsoft.com/office/drawing/2014/main" id="{5C91ED5B-48F3-4306-9E36-5BEF65AEC14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3" name="TextBox 1">
          <a:extLst>
            <a:ext uri="{FF2B5EF4-FFF2-40B4-BE49-F238E27FC236}">
              <a16:creationId xmlns:a16="http://schemas.microsoft.com/office/drawing/2014/main" id="{674065AE-06D3-4DF3-97CE-33F1CFA90D7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0FD843DA-2B23-47D3-96E1-64DB27AA431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5" name="TextBox 1">
          <a:extLst>
            <a:ext uri="{FF2B5EF4-FFF2-40B4-BE49-F238E27FC236}">
              <a16:creationId xmlns:a16="http://schemas.microsoft.com/office/drawing/2014/main" id="{BCF2CAF2-327A-449A-B78B-B358915F7BD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E412F9F5-2092-44BB-968E-B29A422C512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7" name="TextBox 1">
          <a:extLst>
            <a:ext uri="{FF2B5EF4-FFF2-40B4-BE49-F238E27FC236}">
              <a16:creationId xmlns:a16="http://schemas.microsoft.com/office/drawing/2014/main" id="{755E9E43-DF0B-4B6A-BFB2-F1BC5E2973E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8" name="TextBox 1">
          <a:extLst>
            <a:ext uri="{FF2B5EF4-FFF2-40B4-BE49-F238E27FC236}">
              <a16:creationId xmlns:a16="http://schemas.microsoft.com/office/drawing/2014/main" id="{F544FD92-81C4-497B-B4AB-85D87DCED61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D1791FF9-BE75-40FB-B2CA-497B6446A41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C60BCE00-ADD6-4135-8EF9-7F937D4F5C8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1" name="TextBox 1">
          <a:extLst>
            <a:ext uri="{FF2B5EF4-FFF2-40B4-BE49-F238E27FC236}">
              <a16:creationId xmlns:a16="http://schemas.microsoft.com/office/drawing/2014/main" id="{D8BB1900-4CAE-46CA-839F-1E68C7363FF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2" name="TextBox 1">
          <a:extLst>
            <a:ext uri="{FF2B5EF4-FFF2-40B4-BE49-F238E27FC236}">
              <a16:creationId xmlns:a16="http://schemas.microsoft.com/office/drawing/2014/main" id="{97E00173-0E37-4190-8131-8EFE75D96EA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C5AA9AB7-D26A-4552-A288-BFF0676424A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30198E68-F113-4970-AF32-1707F335980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27078F3B-A861-41A6-87A6-B91DA775F2C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6" name="TextBox 1">
          <a:extLst>
            <a:ext uri="{FF2B5EF4-FFF2-40B4-BE49-F238E27FC236}">
              <a16:creationId xmlns:a16="http://schemas.microsoft.com/office/drawing/2014/main" id="{BCB6B2D7-9A9E-459E-8578-9EAFBBD4EC3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7" name="TextBox 1">
          <a:extLst>
            <a:ext uri="{FF2B5EF4-FFF2-40B4-BE49-F238E27FC236}">
              <a16:creationId xmlns:a16="http://schemas.microsoft.com/office/drawing/2014/main" id="{54273BDD-81AC-42B5-B291-F273B829D3D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A1905A08-D925-40E8-8E69-72058CB35B9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91490713-3019-4672-9993-81B83FA0C61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0" name="TextBox 1">
          <a:extLst>
            <a:ext uri="{FF2B5EF4-FFF2-40B4-BE49-F238E27FC236}">
              <a16:creationId xmlns:a16="http://schemas.microsoft.com/office/drawing/2014/main" id="{01B3238D-56FD-49DA-92A3-075AD9A3BB9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1" name="TextBox 1">
          <a:extLst>
            <a:ext uri="{FF2B5EF4-FFF2-40B4-BE49-F238E27FC236}">
              <a16:creationId xmlns:a16="http://schemas.microsoft.com/office/drawing/2014/main" id="{F950ABBC-8FF9-45E4-A0DE-A3F9DB66640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57E5244A-6C0D-4F12-8E79-E3220456E30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DDBCBD68-86B3-460B-B961-FF83156F434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4" name="TextBox 1">
          <a:extLst>
            <a:ext uri="{FF2B5EF4-FFF2-40B4-BE49-F238E27FC236}">
              <a16:creationId xmlns:a16="http://schemas.microsoft.com/office/drawing/2014/main" id="{5C1DF6D9-89BC-4E8E-BBEA-AAFE5BFC13A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5" name="TextBox 1">
          <a:extLst>
            <a:ext uri="{FF2B5EF4-FFF2-40B4-BE49-F238E27FC236}">
              <a16:creationId xmlns:a16="http://schemas.microsoft.com/office/drawing/2014/main" id="{10899D14-3CDC-4EEC-9E40-4684DAA9BE4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9417533E-A008-4B64-97C6-7C240D1E3EA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C539FE09-2F7F-436C-A68F-E98B188EECB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8" name="TextBox 1">
          <a:extLst>
            <a:ext uri="{FF2B5EF4-FFF2-40B4-BE49-F238E27FC236}">
              <a16:creationId xmlns:a16="http://schemas.microsoft.com/office/drawing/2014/main" id="{D238DC74-DFF1-4915-B1F0-DB32213B6A6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9" name="TextBox 1">
          <a:extLst>
            <a:ext uri="{FF2B5EF4-FFF2-40B4-BE49-F238E27FC236}">
              <a16:creationId xmlns:a16="http://schemas.microsoft.com/office/drawing/2014/main" id="{888A7351-FF87-40DE-8C04-72064CFDE47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C3DCCC76-F194-479B-B273-63344414D99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C460B219-EAC9-4D30-B9F0-7CDAD38B155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2" name="TextBox 1">
          <a:extLst>
            <a:ext uri="{FF2B5EF4-FFF2-40B4-BE49-F238E27FC236}">
              <a16:creationId xmlns:a16="http://schemas.microsoft.com/office/drawing/2014/main" id="{1FD09B23-F27E-46F5-89AC-4407DE613E3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3" name="TextBox 1">
          <a:extLst>
            <a:ext uri="{FF2B5EF4-FFF2-40B4-BE49-F238E27FC236}">
              <a16:creationId xmlns:a16="http://schemas.microsoft.com/office/drawing/2014/main" id="{E8BC0573-D044-455E-A937-3FC05ED47AF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5FAAD876-ACB6-481B-9EB8-3D66996847A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924DA1DD-29D1-48C3-BC71-07CF5BA6A7E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6" name="TextBox 1">
          <a:extLst>
            <a:ext uri="{FF2B5EF4-FFF2-40B4-BE49-F238E27FC236}">
              <a16:creationId xmlns:a16="http://schemas.microsoft.com/office/drawing/2014/main" id="{27EE8FEB-8428-43B2-815C-0B746596D6B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7" name="TextBox 1">
          <a:extLst>
            <a:ext uri="{FF2B5EF4-FFF2-40B4-BE49-F238E27FC236}">
              <a16:creationId xmlns:a16="http://schemas.microsoft.com/office/drawing/2014/main" id="{AE2066B0-F211-4144-AC92-77E253C2C09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95378F81-60C0-4A77-9481-84DB96F8BD3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F866BE26-FE47-4DAF-96A7-2C180FE1D8A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0" name="TextBox 1">
          <a:extLst>
            <a:ext uri="{FF2B5EF4-FFF2-40B4-BE49-F238E27FC236}">
              <a16:creationId xmlns:a16="http://schemas.microsoft.com/office/drawing/2014/main" id="{FA79DD62-CD68-40EB-A71B-1F29FEC3B90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1" name="TextBox 1">
          <a:extLst>
            <a:ext uri="{FF2B5EF4-FFF2-40B4-BE49-F238E27FC236}">
              <a16:creationId xmlns:a16="http://schemas.microsoft.com/office/drawing/2014/main" id="{A5DE1774-01FA-48CD-827C-D4BFEC00875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3FAB019F-0CC7-43EE-B1BF-9353D04A744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A7EB8669-8A31-4A9E-B307-9A8FE14EA5B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4" name="TextBox 1">
          <a:extLst>
            <a:ext uri="{FF2B5EF4-FFF2-40B4-BE49-F238E27FC236}">
              <a16:creationId xmlns:a16="http://schemas.microsoft.com/office/drawing/2014/main" id="{3B830D2D-6390-4BB9-B91E-30D5870D076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5" name="TextBox 1">
          <a:extLst>
            <a:ext uri="{FF2B5EF4-FFF2-40B4-BE49-F238E27FC236}">
              <a16:creationId xmlns:a16="http://schemas.microsoft.com/office/drawing/2014/main" id="{1BB4B444-0BE7-4433-9004-699CC65EFDD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21DE5D87-B535-4285-9012-4EEBA965E1C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ADE2BF7D-81EF-48A8-8E67-F2F571DDBAE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8" name="TextBox 1">
          <a:extLst>
            <a:ext uri="{FF2B5EF4-FFF2-40B4-BE49-F238E27FC236}">
              <a16:creationId xmlns:a16="http://schemas.microsoft.com/office/drawing/2014/main" id="{74D7160D-0D7E-4EB2-887B-F9D7D376367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9" name="TextBox 1">
          <a:extLst>
            <a:ext uri="{FF2B5EF4-FFF2-40B4-BE49-F238E27FC236}">
              <a16:creationId xmlns:a16="http://schemas.microsoft.com/office/drawing/2014/main" id="{44FDEB21-F60C-43CC-94DF-F5CE42BD786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78371E9C-6C09-4F49-9BB3-37421A35358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22B07E22-6741-4B5B-B575-60DF78441B2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F081A222-7CA8-46E5-A14B-F30E883C5F9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3" name="TextBox 1">
          <a:extLst>
            <a:ext uri="{FF2B5EF4-FFF2-40B4-BE49-F238E27FC236}">
              <a16:creationId xmlns:a16="http://schemas.microsoft.com/office/drawing/2014/main" id="{4035284E-F943-46CB-867A-E28B79AD20C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4" name="TextBox 1">
          <a:extLst>
            <a:ext uri="{FF2B5EF4-FFF2-40B4-BE49-F238E27FC236}">
              <a16:creationId xmlns:a16="http://schemas.microsoft.com/office/drawing/2014/main" id="{A9AF122D-F2A0-4E12-84EA-BBAED1F41E8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6C49640D-251A-4E88-AF73-A2BDB4C676F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1B274D88-5E85-45B7-8684-ED51020628C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7" name="TextBox 1">
          <a:extLst>
            <a:ext uri="{FF2B5EF4-FFF2-40B4-BE49-F238E27FC236}">
              <a16:creationId xmlns:a16="http://schemas.microsoft.com/office/drawing/2014/main" id="{8FE08FC9-0367-4921-A44F-DE7E64FEA9F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8" name="TextBox 1">
          <a:extLst>
            <a:ext uri="{FF2B5EF4-FFF2-40B4-BE49-F238E27FC236}">
              <a16:creationId xmlns:a16="http://schemas.microsoft.com/office/drawing/2014/main" id="{B4C9079B-9822-4A1D-8321-56274383A71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A819F2AB-F98E-48B2-999B-EDE5397BBED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E1122B1C-0F73-4C5F-A3EF-9612C6F9E79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1" name="TextBox 1">
          <a:extLst>
            <a:ext uri="{FF2B5EF4-FFF2-40B4-BE49-F238E27FC236}">
              <a16:creationId xmlns:a16="http://schemas.microsoft.com/office/drawing/2014/main" id="{A9906B90-8F7E-4962-9549-D88B412E401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2" name="TextBox 1">
          <a:extLst>
            <a:ext uri="{FF2B5EF4-FFF2-40B4-BE49-F238E27FC236}">
              <a16:creationId xmlns:a16="http://schemas.microsoft.com/office/drawing/2014/main" id="{FF1283FF-BF29-4B7A-B0EF-055B269E015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3" name="TextBox 2072">
          <a:extLst>
            <a:ext uri="{FF2B5EF4-FFF2-40B4-BE49-F238E27FC236}">
              <a16:creationId xmlns:a16="http://schemas.microsoft.com/office/drawing/2014/main" id="{3569AB80-C145-40E4-8121-AD4320BE89C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11776EA1-1B67-4825-B78F-8801E6769F6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5" name="TextBox 1">
          <a:extLst>
            <a:ext uri="{FF2B5EF4-FFF2-40B4-BE49-F238E27FC236}">
              <a16:creationId xmlns:a16="http://schemas.microsoft.com/office/drawing/2014/main" id="{D88B1876-CD28-4016-A562-49DF77A4BDC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6" name="TextBox 1">
          <a:extLst>
            <a:ext uri="{FF2B5EF4-FFF2-40B4-BE49-F238E27FC236}">
              <a16:creationId xmlns:a16="http://schemas.microsoft.com/office/drawing/2014/main" id="{77565889-9E99-4896-823A-B51FE55C9C2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7" name="TextBox 2076">
          <a:extLst>
            <a:ext uri="{FF2B5EF4-FFF2-40B4-BE49-F238E27FC236}">
              <a16:creationId xmlns:a16="http://schemas.microsoft.com/office/drawing/2014/main" id="{D0F2FAFB-AF45-4CC0-BC23-0CD856A30BE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8" name="TextBox 2077">
          <a:extLst>
            <a:ext uri="{FF2B5EF4-FFF2-40B4-BE49-F238E27FC236}">
              <a16:creationId xmlns:a16="http://schemas.microsoft.com/office/drawing/2014/main" id="{C9C88C95-7813-4DF6-AB2D-062C8BD449C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9" name="TextBox 1">
          <a:extLst>
            <a:ext uri="{FF2B5EF4-FFF2-40B4-BE49-F238E27FC236}">
              <a16:creationId xmlns:a16="http://schemas.microsoft.com/office/drawing/2014/main" id="{D451D798-9379-4E8B-8197-DF6E0A33852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0" name="TextBox 1">
          <a:extLst>
            <a:ext uri="{FF2B5EF4-FFF2-40B4-BE49-F238E27FC236}">
              <a16:creationId xmlns:a16="http://schemas.microsoft.com/office/drawing/2014/main" id="{EF11773A-E720-4959-BBA6-165210EAA06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1" name="TextBox 2080">
          <a:extLst>
            <a:ext uri="{FF2B5EF4-FFF2-40B4-BE49-F238E27FC236}">
              <a16:creationId xmlns:a16="http://schemas.microsoft.com/office/drawing/2014/main" id="{A2619679-2A9D-4921-9E4D-887B6EA8246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2" name="TextBox 2081">
          <a:extLst>
            <a:ext uri="{FF2B5EF4-FFF2-40B4-BE49-F238E27FC236}">
              <a16:creationId xmlns:a16="http://schemas.microsoft.com/office/drawing/2014/main" id="{8B442E2B-067D-4FE4-8CFD-9AE893B8BA6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3" name="TextBox 1">
          <a:extLst>
            <a:ext uri="{FF2B5EF4-FFF2-40B4-BE49-F238E27FC236}">
              <a16:creationId xmlns:a16="http://schemas.microsoft.com/office/drawing/2014/main" id="{1712A9F0-DCA9-4214-8157-8E037BF8160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4" name="TextBox 1">
          <a:extLst>
            <a:ext uri="{FF2B5EF4-FFF2-40B4-BE49-F238E27FC236}">
              <a16:creationId xmlns:a16="http://schemas.microsoft.com/office/drawing/2014/main" id="{14BAB9EA-C87D-4349-B4D6-BEDAF8822C0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5" name="TextBox 2084">
          <a:extLst>
            <a:ext uri="{FF2B5EF4-FFF2-40B4-BE49-F238E27FC236}">
              <a16:creationId xmlns:a16="http://schemas.microsoft.com/office/drawing/2014/main" id="{39335159-17A8-4E83-BF37-B5BD9C2BF35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C2445D12-C915-46FC-ACD5-D295CCCB3CA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7" name="TextBox 1">
          <a:extLst>
            <a:ext uri="{FF2B5EF4-FFF2-40B4-BE49-F238E27FC236}">
              <a16:creationId xmlns:a16="http://schemas.microsoft.com/office/drawing/2014/main" id="{6EE95BDE-A177-4CBD-9DE1-6031DDE1010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8" name="TextBox 1">
          <a:extLst>
            <a:ext uri="{FF2B5EF4-FFF2-40B4-BE49-F238E27FC236}">
              <a16:creationId xmlns:a16="http://schemas.microsoft.com/office/drawing/2014/main" id="{CAF4C21F-5993-4789-ACC9-BCDC3C39BA3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9" name="TextBox 2088">
          <a:extLst>
            <a:ext uri="{FF2B5EF4-FFF2-40B4-BE49-F238E27FC236}">
              <a16:creationId xmlns:a16="http://schemas.microsoft.com/office/drawing/2014/main" id="{1FF27CF6-C804-445E-8C16-B7DEB636B37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B42C5CE9-3E9F-47B9-A79F-4DAF03B4536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1" name="TextBox 1">
          <a:extLst>
            <a:ext uri="{FF2B5EF4-FFF2-40B4-BE49-F238E27FC236}">
              <a16:creationId xmlns:a16="http://schemas.microsoft.com/office/drawing/2014/main" id="{338F4F8F-FF9D-44F5-9FCD-26F344B00B1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2" name="TextBox 1">
          <a:extLst>
            <a:ext uri="{FF2B5EF4-FFF2-40B4-BE49-F238E27FC236}">
              <a16:creationId xmlns:a16="http://schemas.microsoft.com/office/drawing/2014/main" id="{A8F0EC61-59E8-45B9-A390-E3FFD49926F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3" name="TextBox 2092">
          <a:extLst>
            <a:ext uri="{FF2B5EF4-FFF2-40B4-BE49-F238E27FC236}">
              <a16:creationId xmlns:a16="http://schemas.microsoft.com/office/drawing/2014/main" id="{41CC5A15-E1D1-4171-93B7-E9245214CB6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ABC658A3-BC5D-4D33-8DBB-1981E5F3710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5" name="TextBox 1">
          <a:extLst>
            <a:ext uri="{FF2B5EF4-FFF2-40B4-BE49-F238E27FC236}">
              <a16:creationId xmlns:a16="http://schemas.microsoft.com/office/drawing/2014/main" id="{2D131960-2F46-4762-9233-A79EE8745FB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6" name="TextBox 1">
          <a:extLst>
            <a:ext uri="{FF2B5EF4-FFF2-40B4-BE49-F238E27FC236}">
              <a16:creationId xmlns:a16="http://schemas.microsoft.com/office/drawing/2014/main" id="{3768C3F7-39D2-4751-BE0B-01746A9DA7C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7" name="TextBox 2096">
          <a:extLst>
            <a:ext uri="{FF2B5EF4-FFF2-40B4-BE49-F238E27FC236}">
              <a16:creationId xmlns:a16="http://schemas.microsoft.com/office/drawing/2014/main" id="{79833A21-F1CC-4EE2-8294-B3E85D41DAA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8" name="TextBox 2097">
          <a:extLst>
            <a:ext uri="{FF2B5EF4-FFF2-40B4-BE49-F238E27FC236}">
              <a16:creationId xmlns:a16="http://schemas.microsoft.com/office/drawing/2014/main" id="{7687C863-0EF9-4C44-BC64-F1766B115F3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9" name="TextBox 1">
          <a:extLst>
            <a:ext uri="{FF2B5EF4-FFF2-40B4-BE49-F238E27FC236}">
              <a16:creationId xmlns:a16="http://schemas.microsoft.com/office/drawing/2014/main" id="{BE5A701C-C855-4F97-B072-F13BDC3D54F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0" name="TextBox 1">
          <a:extLst>
            <a:ext uri="{FF2B5EF4-FFF2-40B4-BE49-F238E27FC236}">
              <a16:creationId xmlns:a16="http://schemas.microsoft.com/office/drawing/2014/main" id="{F276B670-4FD5-45D3-9F38-D6BF906F3B2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1" name="TextBox 2100">
          <a:extLst>
            <a:ext uri="{FF2B5EF4-FFF2-40B4-BE49-F238E27FC236}">
              <a16:creationId xmlns:a16="http://schemas.microsoft.com/office/drawing/2014/main" id="{C5C9AEE9-BE02-429E-9D86-66A435A5CAE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2" name="TextBox 2101">
          <a:extLst>
            <a:ext uri="{FF2B5EF4-FFF2-40B4-BE49-F238E27FC236}">
              <a16:creationId xmlns:a16="http://schemas.microsoft.com/office/drawing/2014/main" id="{07B99793-1D8A-488D-8070-190E711E69E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3" name="TextBox 1">
          <a:extLst>
            <a:ext uri="{FF2B5EF4-FFF2-40B4-BE49-F238E27FC236}">
              <a16:creationId xmlns:a16="http://schemas.microsoft.com/office/drawing/2014/main" id="{EFC4EE81-46FD-47C6-9B9D-969E0A00A2B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4" name="TextBox 1">
          <a:extLst>
            <a:ext uri="{FF2B5EF4-FFF2-40B4-BE49-F238E27FC236}">
              <a16:creationId xmlns:a16="http://schemas.microsoft.com/office/drawing/2014/main" id="{52D912BD-5025-487A-BB32-D059A24C3BA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5" name="TextBox 2104">
          <a:extLst>
            <a:ext uri="{FF2B5EF4-FFF2-40B4-BE49-F238E27FC236}">
              <a16:creationId xmlns:a16="http://schemas.microsoft.com/office/drawing/2014/main" id="{3AC35449-04A8-484B-A141-5DF457D3F50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6" name="TextBox 2105">
          <a:extLst>
            <a:ext uri="{FF2B5EF4-FFF2-40B4-BE49-F238E27FC236}">
              <a16:creationId xmlns:a16="http://schemas.microsoft.com/office/drawing/2014/main" id="{AC888791-D9B6-4536-AFCF-B8B6A3A2965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7" name="TextBox 2106">
          <a:extLst>
            <a:ext uri="{FF2B5EF4-FFF2-40B4-BE49-F238E27FC236}">
              <a16:creationId xmlns:a16="http://schemas.microsoft.com/office/drawing/2014/main" id="{7D291CC0-D5BB-4A70-8A7C-D9D0FC58AD8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8" name="TextBox 1">
          <a:extLst>
            <a:ext uri="{FF2B5EF4-FFF2-40B4-BE49-F238E27FC236}">
              <a16:creationId xmlns:a16="http://schemas.microsoft.com/office/drawing/2014/main" id="{F87E8DF3-DA5A-4C5A-BDF3-700D389A3C0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9" name="TextBox 1">
          <a:extLst>
            <a:ext uri="{FF2B5EF4-FFF2-40B4-BE49-F238E27FC236}">
              <a16:creationId xmlns:a16="http://schemas.microsoft.com/office/drawing/2014/main" id="{F196DF60-D1E3-4085-AFDA-E59584951CC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0" name="TextBox 2109">
          <a:extLst>
            <a:ext uri="{FF2B5EF4-FFF2-40B4-BE49-F238E27FC236}">
              <a16:creationId xmlns:a16="http://schemas.microsoft.com/office/drawing/2014/main" id="{AE447BFE-3660-4F5F-B997-D6A4087EF29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1" name="TextBox 2110">
          <a:extLst>
            <a:ext uri="{FF2B5EF4-FFF2-40B4-BE49-F238E27FC236}">
              <a16:creationId xmlns:a16="http://schemas.microsoft.com/office/drawing/2014/main" id="{4ABAA2B3-5360-481E-80E8-1702F7C1579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2" name="TextBox 1">
          <a:extLst>
            <a:ext uri="{FF2B5EF4-FFF2-40B4-BE49-F238E27FC236}">
              <a16:creationId xmlns:a16="http://schemas.microsoft.com/office/drawing/2014/main" id="{ED78F887-79A0-43B4-A0C3-1BB81C09415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3" name="TextBox 1">
          <a:extLst>
            <a:ext uri="{FF2B5EF4-FFF2-40B4-BE49-F238E27FC236}">
              <a16:creationId xmlns:a16="http://schemas.microsoft.com/office/drawing/2014/main" id="{BDC5B068-8E79-4451-B24A-9503A27B830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4" name="TextBox 2113">
          <a:extLst>
            <a:ext uri="{FF2B5EF4-FFF2-40B4-BE49-F238E27FC236}">
              <a16:creationId xmlns:a16="http://schemas.microsoft.com/office/drawing/2014/main" id="{9A20E6FA-1FB9-4911-85B8-16247B475BF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5" name="TextBox 2114">
          <a:extLst>
            <a:ext uri="{FF2B5EF4-FFF2-40B4-BE49-F238E27FC236}">
              <a16:creationId xmlns:a16="http://schemas.microsoft.com/office/drawing/2014/main" id="{7318DAB9-B047-4C90-8302-8B5220FA444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6" name="TextBox 1">
          <a:extLst>
            <a:ext uri="{FF2B5EF4-FFF2-40B4-BE49-F238E27FC236}">
              <a16:creationId xmlns:a16="http://schemas.microsoft.com/office/drawing/2014/main" id="{86F57F40-6488-44D2-84A6-CE8A71543ED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7" name="TextBox 1">
          <a:extLst>
            <a:ext uri="{FF2B5EF4-FFF2-40B4-BE49-F238E27FC236}">
              <a16:creationId xmlns:a16="http://schemas.microsoft.com/office/drawing/2014/main" id="{D5DC0D10-70A3-4D1A-96FB-14F0FF240EA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8" name="TextBox 2117">
          <a:extLst>
            <a:ext uri="{FF2B5EF4-FFF2-40B4-BE49-F238E27FC236}">
              <a16:creationId xmlns:a16="http://schemas.microsoft.com/office/drawing/2014/main" id="{DE4485C4-0659-4C64-AD45-F30A8059F35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9" name="TextBox 2118">
          <a:extLst>
            <a:ext uri="{FF2B5EF4-FFF2-40B4-BE49-F238E27FC236}">
              <a16:creationId xmlns:a16="http://schemas.microsoft.com/office/drawing/2014/main" id="{532BD355-8C95-4210-AD1C-9697B6385BA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0" name="TextBox 1">
          <a:extLst>
            <a:ext uri="{FF2B5EF4-FFF2-40B4-BE49-F238E27FC236}">
              <a16:creationId xmlns:a16="http://schemas.microsoft.com/office/drawing/2014/main" id="{F9914030-DDB9-472D-8701-5EAAAD2BCCE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1" name="TextBox 1">
          <a:extLst>
            <a:ext uri="{FF2B5EF4-FFF2-40B4-BE49-F238E27FC236}">
              <a16:creationId xmlns:a16="http://schemas.microsoft.com/office/drawing/2014/main" id="{F133A70D-6DD9-45AD-94CE-49E2525BB0E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2" name="TextBox 2121">
          <a:extLst>
            <a:ext uri="{FF2B5EF4-FFF2-40B4-BE49-F238E27FC236}">
              <a16:creationId xmlns:a16="http://schemas.microsoft.com/office/drawing/2014/main" id="{B866E020-40BD-447C-9657-0EC84B5E9B2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3" name="TextBox 2122">
          <a:extLst>
            <a:ext uri="{FF2B5EF4-FFF2-40B4-BE49-F238E27FC236}">
              <a16:creationId xmlns:a16="http://schemas.microsoft.com/office/drawing/2014/main" id="{D0889E88-736A-4EEC-962F-243404B0AF1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4" name="TextBox 1">
          <a:extLst>
            <a:ext uri="{FF2B5EF4-FFF2-40B4-BE49-F238E27FC236}">
              <a16:creationId xmlns:a16="http://schemas.microsoft.com/office/drawing/2014/main" id="{8E173988-0E0B-423E-83F7-FE7A05EFCB1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5" name="TextBox 1">
          <a:extLst>
            <a:ext uri="{FF2B5EF4-FFF2-40B4-BE49-F238E27FC236}">
              <a16:creationId xmlns:a16="http://schemas.microsoft.com/office/drawing/2014/main" id="{C232914E-CE18-4ABF-B7B0-A41CF0A9506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6" name="TextBox 2125">
          <a:extLst>
            <a:ext uri="{FF2B5EF4-FFF2-40B4-BE49-F238E27FC236}">
              <a16:creationId xmlns:a16="http://schemas.microsoft.com/office/drawing/2014/main" id="{B4708ECC-B00C-44B8-96F6-0FD440D0F78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7" name="TextBox 2126">
          <a:extLst>
            <a:ext uri="{FF2B5EF4-FFF2-40B4-BE49-F238E27FC236}">
              <a16:creationId xmlns:a16="http://schemas.microsoft.com/office/drawing/2014/main" id="{A70B2CFD-BA0E-4CF7-9A38-48F22B22C52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8" name="TextBox 1">
          <a:extLst>
            <a:ext uri="{FF2B5EF4-FFF2-40B4-BE49-F238E27FC236}">
              <a16:creationId xmlns:a16="http://schemas.microsoft.com/office/drawing/2014/main" id="{7575EF54-92E0-42BC-A4CD-EF561B613E1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9" name="TextBox 1">
          <a:extLst>
            <a:ext uri="{FF2B5EF4-FFF2-40B4-BE49-F238E27FC236}">
              <a16:creationId xmlns:a16="http://schemas.microsoft.com/office/drawing/2014/main" id="{D778E3F0-F243-4636-923B-55726682E12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0" name="TextBox 2129">
          <a:extLst>
            <a:ext uri="{FF2B5EF4-FFF2-40B4-BE49-F238E27FC236}">
              <a16:creationId xmlns:a16="http://schemas.microsoft.com/office/drawing/2014/main" id="{DE9681CB-8F92-4209-91F1-C3A2DC56868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1" name="TextBox 2130">
          <a:extLst>
            <a:ext uri="{FF2B5EF4-FFF2-40B4-BE49-F238E27FC236}">
              <a16:creationId xmlns:a16="http://schemas.microsoft.com/office/drawing/2014/main" id="{409CC859-5278-48E0-BF83-9729F41A336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2" name="TextBox 1">
          <a:extLst>
            <a:ext uri="{FF2B5EF4-FFF2-40B4-BE49-F238E27FC236}">
              <a16:creationId xmlns:a16="http://schemas.microsoft.com/office/drawing/2014/main" id="{B4C3EDDD-D5AB-44D0-9431-1A71A95CAF6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3" name="TextBox 1">
          <a:extLst>
            <a:ext uri="{FF2B5EF4-FFF2-40B4-BE49-F238E27FC236}">
              <a16:creationId xmlns:a16="http://schemas.microsoft.com/office/drawing/2014/main" id="{A20CB9C7-B3DF-46BE-8E9A-29AC6F7CF18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4" name="TextBox 2133">
          <a:extLst>
            <a:ext uri="{FF2B5EF4-FFF2-40B4-BE49-F238E27FC236}">
              <a16:creationId xmlns:a16="http://schemas.microsoft.com/office/drawing/2014/main" id="{1A42A60F-734D-46AC-AD5C-33302EDB39D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5" name="TextBox 2134">
          <a:extLst>
            <a:ext uri="{FF2B5EF4-FFF2-40B4-BE49-F238E27FC236}">
              <a16:creationId xmlns:a16="http://schemas.microsoft.com/office/drawing/2014/main" id="{B5A5542D-4AB4-45F6-A4FB-9E068C033F4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6" name="TextBox 1">
          <a:extLst>
            <a:ext uri="{FF2B5EF4-FFF2-40B4-BE49-F238E27FC236}">
              <a16:creationId xmlns:a16="http://schemas.microsoft.com/office/drawing/2014/main" id="{CF6B6CA9-C56B-40D7-8FAD-5C7CD6EDBCA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7" name="TextBox 1">
          <a:extLst>
            <a:ext uri="{FF2B5EF4-FFF2-40B4-BE49-F238E27FC236}">
              <a16:creationId xmlns:a16="http://schemas.microsoft.com/office/drawing/2014/main" id="{B9AEE564-CBA3-4728-ABE2-4E25D48CB2F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8" name="TextBox 2137">
          <a:extLst>
            <a:ext uri="{FF2B5EF4-FFF2-40B4-BE49-F238E27FC236}">
              <a16:creationId xmlns:a16="http://schemas.microsoft.com/office/drawing/2014/main" id="{66AD8A35-8D01-4157-A9F4-39D57839571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9" name="TextBox 2138">
          <a:extLst>
            <a:ext uri="{FF2B5EF4-FFF2-40B4-BE49-F238E27FC236}">
              <a16:creationId xmlns:a16="http://schemas.microsoft.com/office/drawing/2014/main" id="{4ED46972-EDEE-49B0-9405-78568BE4296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0" name="TextBox 1">
          <a:extLst>
            <a:ext uri="{FF2B5EF4-FFF2-40B4-BE49-F238E27FC236}">
              <a16:creationId xmlns:a16="http://schemas.microsoft.com/office/drawing/2014/main" id="{E16A8BA6-371E-413E-A9C7-5398D1739F1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1" name="TextBox 1">
          <a:extLst>
            <a:ext uri="{FF2B5EF4-FFF2-40B4-BE49-F238E27FC236}">
              <a16:creationId xmlns:a16="http://schemas.microsoft.com/office/drawing/2014/main" id="{D89888E1-1682-464E-9026-CCF3CFC191D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2" name="TextBox 2141">
          <a:extLst>
            <a:ext uri="{FF2B5EF4-FFF2-40B4-BE49-F238E27FC236}">
              <a16:creationId xmlns:a16="http://schemas.microsoft.com/office/drawing/2014/main" id="{5B15A5B6-6D2A-4B42-A197-350D30E507E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3" name="TextBox 1">
          <a:extLst>
            <a:ext uri="{FF2B5EF4-FFF2-40B4-BE49-F238E27FC236}">
              <a16:creationId xmlns:a16="http://schemas.microsoft.com/office/drawing/2014/main" id="{1579C602-6540-45D8-B4AF-86CABD8E9D6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4" name="TextBox 1">
          <a:extLst>
            <a:ext uri="{FF2B5EF4-FFF2-40B4-BE49-F238E27FC236}">
              <a16:creationId xmlns:a16="http://schemas.microsoft.com/office/drawing/2014/main" id="{93801755-D47D-4A79-AA42-14199844140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5" name="TextBox 2144">
          <a:extLst>
            <a:ext uri="{FF2B5EF4-FFF2-40B4-BE49-F238E27FC236}">
              <a16:creationId xmlns:a16="http://schemas.microsoft.com/office/drawing/2014/main" id="{0687D71A-F667-4FE6-B17B-31B1B4B5331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6" name="TextBox 1">
          <a:extLst>
            <a:ext uri="{FF2B5EF4-FFF2-40B4-BE49-F238E27FC236}">
              <a16:creationId xmlns:a16="http://schemas.microsoft.com/office/drawing/2014/main" id="{8DD12946-6AD0-4EC4-8F57-86172EE49EB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7" name="TextBox 2146">
          <a:extLst>
            <a:ext uri="{FF2B5EF4-FFF2-40B4-BE49-F238E27FC236}">
              <a16:creationId xmlns:a16="http://schemas.microsoft.com/office/drawing/2014/main" id="{18684409-024F-4AC6-B316-B0BBD456D70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8" name="TextBox 1">
          <a:extLst>
            <a:ext uri="{FF2B5EF4-FFF2-40B4-BE49-F238E27FC236}">
              <a16:creationId xmlns:a16="http://schemas.microsoft.com/office/drawing/2014/main" id="{153A3D20-2316-4EA4-909E-07D4A414F52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9" name="TextBox 1">
          <a:extLst>
            <a:ext uri="{FF2B5EF4-FFF2-40B4-BE49-F238E27FC236}">
              <a16:creationId xmlns:a16="http://schemas.microsoft.com/office/drawing/2014/main" id="{F740F90F-5616-480B-A377-C1B2F10E94E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0" name="TextBox 2149">
          <a:extLst>
            <a:ext uri="{FF2B5EF4-FFF2-40B4-BE49-F238E27FC236}">
              <a16:creationId xmlns:a16="http://schemas.microsoft.com/office/drawing/2014/main" id="{DFF45295-DF97-4063-B246-310A576D92C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1" name="TextBox 2150">
          <a:extLst>
            <a:ext uri="{FF2B5EF4-FFF2-40B4-BE49-F238E27FC236}">
              <a16:creationId xmlns:a16="http://schemas.microsoft.com/office/drawing/2014/main" id="{FA3031FA-6773-4CE1-887C-74C0C704761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2" name="TextBox 1">
          <a:extLst>
            <a:ext uri="{FF2B5EF4-FFF2-40B4-BE49-F238E27FC236}">
              <a16:creationId xmlns:a16="http://schemas.microsoft.com/office/drawing/2014/main" id="{145EA909-0E52-4388-8FB8-42770B1F0C7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3" name="TextBox 1">
          <a:extLst>
            <a:ext uri="{FF2B5EF4-FFF2-40B4-BE49-F238E27FC236}">
              <a16:creationId xmlns:a16="http://schemas.microsoft.com/office/drawing/2014/main" id="{D19D44F2-96D9-4703-B1BD-5943AE15F8D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4" name="TextBox 2153">
          <a:extLst>
            <a:ext uri="{FF2B5EF4-FFF2-40B4-BE49-F238E27FC236}">
              <a16:creationId xmlns:a16="http://schemas.microsoft.com/office/drawing/2014/main" id="{2B317525-B6C5-4F6E-852A-6DE5ABB887E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5" name="TextBox 2154">
          <a:extLst>
            <a:ext uri="{FF2B5EF4-FFF2-40B4-BE49-F238E27FC236}">
              <a16:creationId xmlns:a16="http://schemas.microsoft.com/office/drawing/2014/main" id="{27B65868-37DE-45EE-85D1-BFA5DF3D3C0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6" name="TextBox 2155">
          <a:extLst>
            <a:ext uri="{FF2B5EF4-FFF2-40B4-BE49-F238E27FC236}">
              <a16:creationId xmlns:a16="http://schemas.microsoft.com/office/drawing/2014/main" id="{0B565D0C-F31F-48F3-AC01-13617794794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7" name="TextBox 1">
          <a:extLst>
            <a:ext uri="{FF2B5EF4-FFF2-40B4-BE49-F238E27FC236}">
              <a16:creationId xmlns:a16="http://schemas.microsoft.com/office/drawing/2014/main" id="{C78F34CB-8365-4C13-BE02-6C0095E0B4F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8" name="TextBox 1">
          <a:extLst>
            <a:ext uri="{FF2B5EF4-FFF2-40B4-BE49-F238E27FC236}">
              <a16:creationId xmlns:a16="http://schemas.microsoft.com/office/drawing/2014/main" id="{44B94FB1-E2BD-41A1-8E32-372E511DA55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9" name="TextBox 2158">
          <a:extLst>
            <a:ext uri="{FF2B5EF4-FFF2-40B4-BE49-F238E27FC236}">
              <a16:creationId xmlns:a16="http://schemas.microsoft.com/office/drawing/2014/main" id="{C1FA1BD1-A661-42E8-AD10-42015C79E72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0" name="TextBox 2159">
          <a:extLst>
            <a:ext uri="{FF2B5EF4-FFF2-40B4-BE49-F238E27FC236}">
              <a16:creationId xmlns:a16="http://schemas.microsoft.com/office/drawing/2014/main" id="{18740C12-034D-4A2C-A744-84321F6C6B8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1" name="TextBox 1">
          <a:extLst>
            <a:ext uri="{FF2B5EF4-FFF2-40B4-BE49-F238E27FC236}">
              <a16:creationId xmlns:a16="http://schemas.microsoft.com/office/drawing/2014/main" id="{CAF29333-FBAD-49F9-A250-0C2EAE4CDEC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2" name="TextBox 1">
          <a:extLst>
            <a:ext uri="{FF2B5EF4-FFF2-40B4-BE49-F238E27FC236}">
              <a16:creationId xmlns:a16="http://schemas.microsoft.com/office/drawing/2014/main" id="{DA4FE992-ABF0-4830-8DE3-6D5BBB2FACB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3" name="TextBox 2162">
          <a:extLst>
            <a:ext uri="{FF2B5EF4-FFF2-40B4-BE49-F238E27FC236}">
              <a16:creationId xmlns:a16="http://schemas.microsoft.com/office/drawing/2014/main" id="{20039F30-13AA-40E6-81BE-E58EC54F5F3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4" name="TextBox 2163">
          <a:extLst>
            <a:ext uri="{FF2B5EF4-FFF2-40B4-BE49-F238E27FC236}">
              <a16:creationId xmlns:a16="http://schemas.microsoft.com/office/drawing/2014/main" id="{22F4790D-AB15-4535-95B8-DDA5E36E938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5" name="TextBox 1">
          <a:extLst>
            <a:ext uri="{FF2B5EF4-FFF2-40B4-BE49-F238E27FC236}">
              <a16:creationId xmlns:a16="http://schemas.microsoft.com/office/drawing/2014/main" id="{4C0919B3-F009-4887-B22A-FA952458A2C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6" name="TextBox 1">
          <a:extLst>
            <a:ext uri="{FF2B5EF4-FFF2-40B4-BE49-F238E27FC236}">
              <a16:creationId xmlns:a16="http://schemas.microsoft.com/office/drawing/2014/main" id="{86ACC561-5547-405E-BBF7-BCEF4462A3C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7" name="TextBox 2166">
          <a:extLst>
            <a:ext uri="{FF2B5EF4-FFF2-40B4-BE49-F238E27FC236}">
              <a16:creationId xmlns:a16="http://schemas.microsoft.com/office/drawing/2014/main" id="{51EC4395-81F6-48EA-9FD1-CFD3AA1395F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8" name="TextBox 2167">
          <a:extLst>
            <a:ext uri="{FF2B5EF4-FFF2-40B4-BE49-F238E27FC236}">
              <a16:creationId xmlns:a16="http://schemas.microsoft.com/office/drawing/2014/main" id="{51A13783-C533-4E1B-A992-D5D897CB7DA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9" name="TextBox 1">
          <a:extLst>
            <a:ext uri="{FF2B5EF4-FFF2-40B4-BE49-F238E27FC236}">
              <a16:creationId xmlns:a16="http://schemas.microsoft.com/office/drawing/2014/main" id="{647408E3-6D66-4E07-9E01-1F848CA30F8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0" name="TextBox 1">
          <a:extLst>
            <a:ext uri="{FF2B5EF4-FFF2-40B4-BE49-F238E27FC236}">
              <a16:creationId xmlns:a16="http://schemas.microsoft.com/office/drawing/2014/main" id="{B08D2064-17E1-40E3-9DE2-FDE051B965F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1" name="TextBox 2170">
          <a:extLst>
            <a:ext uri="{FF2B5EF4-FFF2-40B4-BE49-F238E27FC236}">
              <a16:creationId xmlns:a16="http://schemas.microsoft.com/office/drawing/2014/main" id="{182B6A32-3DDE-40CB-B969-DD64DCB1959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2" name="TextBox 2171">
          <a:extLst>
            <a:ext uri="{FF2B5EF4-FFF2-40B4-BE49-F238E27FC236}">
              <a16:creationId xmlns:a16="http://schemas.microsoft.com/office/drawing/2014/main" id="{A7F27F26-DA84-4A96-A78D-9A751103AB7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3" name="TextBox 1">
          <a:extLst>
            <a:ext uri="{FF2B5EF4-FFF2-40B4-BE49-F238E27FC236}">
              <a16:creationId xmlns:a16="http://schemas.microsoft.com/office/drawing/2014/main" id="{9192834F-5A76-4847-BEDA-54EB639A45D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4" name="TextBox 1">
          <a:extLst>
            <a:ext uri="{FF2B5EF4-FFF2-40B4-BE49-F238E27FC236}">
              <a16:creationId xmlns:a16="http://schemas.microsoft.com/office/drawing/2014/main" id="{A7B4A93F-5110-4DCF-B5EB-5ED9874EA7E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5" name="TextBox 2174">
          <a:extLst>
            <a:ext uri="{FF2B5EF4-FFF2-40B4-BE49-F238E27FC236}">
              <a16:creationId xmlns:a16="http://schemas.microsoft.com/office/drawing/2014/main" id="{632EB1E1-8C57-4351-B1CD-60E24A2515C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6" name="TextBox 2175">
          <a:extLst>
            <a:ext uri="{FF2B5EF4-FFF2-40B4-BE49-F238E27FC236}">
              <a16:creationId xmlns:a16="http://schemas.microsoft.com/office/drawing/2014/main" id="{46710BE5-AD02-4CB8-84F5-A02DF8C3176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7" name="TextBox 1">
          <a:extLst>
            <a:ext uri="{FF2B5EF4-FFF2-40B4-BE49-F238E27FC236}">
              <a16:creationId xmlns:a16="http://schemas.microsoft.com/office/drawing/2014/main" id="{4FAA5A01-91CF-45F5-B788-08E488DF68E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8" name="TextBox 1">
          <a:extLst>
            <a:ext uri="{FF2B5EF4-FFF2-40B4-BE49-F238E27FC236}">
              <a16:creationId xmlns:a16="http://schemas.microsoft.com/office/drawing/2014/main" id="{0EE93A6F-9BCC-4E4F-B5D5-D66D2B64C7F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9" name="TextBox 2178">
          <a:extLst>
            <a:ext uri="{FF2B5EF4-FFF2-40B4-BE49-F238E27FC236}">
              <a16:creationId xmlns:a16="http://schemas.microsoft.com/office/drawing/2014/main" id="{9F56188E-00AC-4697-A56A-3895D7231A3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0" name="TextBox 2179">
          <a:extLst>
            <a:ext uri="{FF2B5EF4-FFF2-40B4-BE49-F238E27FC236}">
              <a16:creationId xmlns:a16="http://schemas.microsoft.com/office/drawing/2014/main" id="{8FBBAE4A-7348-4A9D-9F87-2C7CAE451F5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1" name="TextBox 1">
          <a:extLst>
            <a:ext uri="{FF2B5EF4-FFF2-40B4-BE49-F238E27FC236}">
              <a16:creationId xmlns:a16="http://schemas.microsoft.com/office/drawing/2014/main" id="{3DF222E6-0E5A-4F06-8BBB-BA5A7E0C6D7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2" name="TextBox 1">
          <a:extLst>
            <a:ext uri="{FF2B5EF4-FFF2-40B4-BE49-F238E27FC236}">
              <a16:creationId xmlns:a16="http://schemas.microsoft.com/office/drawing/2014/main" id="{F20D4FD7-0A46-4879-BDE6-62B1C5156C1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3" name="TextBox 2182">
          <a:extLst>
            <a:ext uri="{FF2B5EF4-FFF2-40B4-BE49-F238E27FC236}">
              <a16:creationId xmlns:a16="http://schemas.microsoft.com/office/drawing/2014/main" id="{85BF3D63-71C7-4DAE-B99C-BED876E95F8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4" name="TextBox 2183">
          <a:extLst>
            <a:ext uri="{FF2B5EF4-FFF2-40B4-BE49-F238E27FC236}">
              <a16:creationId xmlns:a16="http://schemas.microsoft.com/office/drawing/2014/main" id="{9B3C06BF-078C-467B-B225-4391D6A3279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5" name="TextBox 1">
          <a:extLst>
            <a:ext uri="{FF2B5EF4-FFF2-40B4-BE49-F238E27FC236}">
              <a16:creationId xmlns:a16="http://schemas.microsoft.com/office/drawing/2014/main" id="{18BF2038-6F90-454E-A28A-0E649112CA1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6" name="TextBox 1">
          <a:extLst>
            <a:ext uri="{FF2B5EF4-FFF2-40B4-BE49-F238E27FC236}">
              <a16:creationId xmlns:a16="http://schemas.microsoft.com/office/drawing/2014/main" id="{4F4C4CA6-F4B4-4870-8892-94CD0F0B1ED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7" name="TextBox 2186">
          <a:extLst>
            <a:ext uri="{FF2B5EF4-FFF2-40B4-BE49-F238E27FC236}">
              <a16:creationId xmlns:a16="http://schemas.microsoft.com/office/drawing/2014/main" id="{DE1862F9-5BBF-420D-9A3A-6ED2DF48E37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8" name="TextBox 2187">
          <a:extLst>
            <a:ext uri="{FF2B5EF4-FFF2-40B4-BE49-F238E27FC236}">
              <a16:creationId xmlns:a16="http://schemas.microsoft.com/office/drawing/2014/main" id="{73D1D796-50DB-4D89-8AE8-46EF28FD272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9" name="TextBox 1">
          <a:extLst>
            <a:ext uri="{FF2B5EF4-FFF2-40B4-BE49-F238E27FC236}">
              <a16:creationId xmlns:a16="http://schemas.microsoft.com/office/drawing/2014/main" id="{F8C33615-D585-475E-97F1-CCE3EC3BC4C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0" name="TextBox 1">
          <a:extLst>
            <a:ext uri="{FF2B5EF4-FFF2-40B4-BE49-F238E27FC236}">
              <a16:creationId xmlns:a16="http://schemas.microsoft.com/office/drawing/2014/main" id="{5274AA89-DC6D-486B-A872-FEABC566B6F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1" name="TextBox 2190">
          <a:extLst>
            <a:ext uri="{FF2B5EF4-FFF2-40B4-BE49-F238E27FC236}">
              <a16:creationId xmlns:a16="http://schemas.microsoft.com/office/drawing/2014/main" id="{F6224B69-50AC-46D8-B899-0512B5F13C8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2" name="TextBox 2191">
          <a:extLst>
            <a:ext uri="{FF2B5EF4-FFF2-40B4-BE49-F238E27FC236}">
              <a16:creationId xmlns:a16="http://schemas.microsoft.com/office/drawing/2014/main" id="{C9C95744-0F06-4CB2-806A-A88DADD92E4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3" name="TextBox 2192">
          <a:extLst>
            <a:ext uri="{FF2B5EF4-FFF2-40B4-BE49-F238E27FC236}">
              <a16:creationId xmlns:a16="http://schemas.microsoft.com/office/drawing/2014/main" id="{AC003DB0-9053-4ABC-83CE-F1660D69B6F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4" name="TextBox 1">
          <a:extLst>
            <a:ext uri="{FF2B5EF4-FFF2-40B4-BE49-F238E27FC236}">
              <a16:creationId xmlns:a16="http://schemas.microsoft.com/office/drawing/2014/main" id="{FA45FC68-8DA9-48B8-AC6D-A0D744C41D3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5" name="TextBox 1">
          <a:extLst>
            <a:ext uri="{FF2B5EF4-FFF2-40B4-BE49-F238E27FC236}">
              <a16:creationId xmlns:a16="http://schemas.microsoft.com/office/drawing/2014/main" id="{6538D21F-2904-46BF-BCAD-887E1A14D81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6" name="TextBox 2195">
          <a:extLst>
            <a:ext uri="{FF2B5EF4-FFF2-40B4-BE49-F238E27FC236}">
              <a16:creationId xmlns:a16="http://schemas.microsoft.com/office/drawing/2014/main" id="{4E665C25-4D03-446C-A717-C260ADB6129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7" name="TextBox 2196">
          <a:extLst>
            <a:ext uri="{FF2B5EF4-FFF2-40B4-BE49-F238E27FC236}">
              <a16:creationId xmlns:a16="http://schemas.microsoft.com/office/drawing/2014/main" id="{9E1525C4-E6E2-4B05-A3CC-7978B91DD93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8" name="TextBox 1">
          <a:extLst>
            <a:ext uri="{FF2B5EF4-FFF2-40B4-BE49-F238E27FC236}">
              <a16:creationId xmlns:a16="http://schemas.microsoft.com/office/drawing/2014/main" id="{532E21FE-CCE9-4AC9-A439-7F549FAA557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9" name="TextBox 1">
          <a:extLst>
            <a:ext uri="{FF2B5EF4-FFF2-40B4-BE49-F238E27FC236}">
              <a16:creationId xmlns:a16="http://schemas.microsoft.com/office/drawing/2014/main" id="{78021480-1B40-4325-B7C2-4486929D312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0" name="TextBox 2199">
          <a:extLst>
            <a:ext uri="{FF2B5EF4-FFF2-40B4-BE49-F238E27FC236}">
              <a16:creationId xmlns:a16="http://schemas.microsoft.com/office/drawing/2014/main" id="{CC3CE92A-E7A2-41D8-AEDE-5D781E5D216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1" name="TextBox 2200">
          <a:extLst>
            <a:ext uri="{FF2B5EF4-FFF2-40B4-BE49-F238E27FC236}">
              <a16:creationId xmlns:a16="http://schemas.microsoft.com/office/drawing/2014/main" id="{083D6A17-B267-4CCA-96CE-DF0C4E48F30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2" name="TextBox 1">
          <a:extLst>
            <a:ext uri="{FF2B5EF4-FFF2-40B4-BE49-F238E27FC236}">
              <a16:creationId xmlns:a16="http://schemas.microsoft.com/office/drawing/2014/main" id="{0FA2E500-2C04-41AB-9FB6-B9840689181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3" name="TextBox 1">
          <a:extLst>
            <a:ext uri="{FF2B5EF4-FFF2-40B4-BE49-F238E27FC236}">
              <a16:creationId xmlns:a16="http://schemas.microsoft.com/office/drawing/2014/main" id="{689AAA94-3E34-4609-9AB6-195387E27A5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4" name="TextBox 2203">
          <a:extLst>
            <a:ext uri="{FF2B5EF4-FFF2-40B4-BE49-F238E27FC236}">
              <a16:creationId xmlns:a16="http://schemas.microsoft.com/office/drawing/2014/main" id="{9F152559-A282-4989-83F0-14536F6F7DA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5" name="TextBox 2204">
          <a:extLst>
            <a:ext uri="{FF2B5EF4-FFF2-40B4-BE49-F238E27FC236}">
              <a16:creationId xmlns:a16="http://schemas.microsoft.com/office/drawing/2014/main" id="{2921B9E7-7267-4308-B8DF-70DC9C5BD08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6" name="TextBox 1">
          <a:extLst>
            <a:ext uri="{FF2B5EF4-FFF2-40B4-BE49-F238E27FC236}">
              <a16:creationId xmlns:a16="http://schemas.microsoft.com/office/drawing/2014/main" id="{A5E98D7D-1AAA-41E2-881D-B7BD23D2E2D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7" name="TextBox 1">
          <a:extLst>
            <a:ext uri="{FF2B5EF4-FFF2-40B4-BE49-F238E27FC236}">
              <a16:creationId xmlns:a16="http://schemas.microsoft.com/office/drawing/2014/main" id="{F23A655E-49CE-45C3-9468-1585E6F6FA8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8" name="TextBox 2207">
          <a:extLst>
            <a:ext uri="{FF2B5EF4-FFF2-40B4-BE49-F238E27FC236}">
              <a16:creationId xmlns:a16="http://schemas.microsoft.com/office/drawing/2014/main" id="{C013E8D0-750A-4FE6-9B49-CA574AEBAFD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9" name="TextBox 2208">
          <a:extLst>
            <a:ext uri="{FF2B5EF4-FFF2-40B4-BE49-F238E27FC236}">
              <a16:creationId xmlns:a16="http://schemas.microsoft.com/office/drawing/2014/main" id="{DC13913C-0FBC-4A7D-93D3-424ED6D2AA3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0" name="TextBox 1">
          <a:extLst>
            <a:ext uri="{FF2B5EF4-FFF2-40B4-BE49-F238E27FC236}">
              <a16:creationId xmlns:a16="http://schemas.microsoft.com/office/drawing/2014/main" id="{7832EC65-D07B-4459-AECD-469A3413600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1" name="TextBox 1">
          <a:extLst>
            <a:ext uri="{FF2B5EF4-FFF2-40B4-BE49-F238E27FC236}">
              <a16:creationId xmlns:a16="http://schemas.microsoft.com/office/drawing/2014/main" id="{DA69BAB2-C3C0-49C1-8D71-0061460FE05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2" name="TextBox 2211">
          <a:extLst>
            <a:ext uri="{FF2B5EF4-FFF2-40B4-BE49-F238E27FC236}">
              <a16:creationId xmlns:a16="http://schemas.microsoft.com/office/drawing/2014/main" id="{6FC03E09-1D4D-40D0-A471-1C10B61CE13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3" name="TextBox 2212">
          <a:extLst>
            <a:ext uri="{FF2B5EF4-FFF2-40B4-BE49-F238E27FC236}">
              <a16:creationId xmlns:a16="http://schemas.microsoft.com/office/drawing/2014/main" id="{89F2642C-DD48-46A1-9734-CDD4AE03CCC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4" name="TextBox 1">
          <a:extLst>
            <a:ext uri="{FF2B5EF4-FFF2-40B4-BE49-F238E27FC236}">
              <a16:creationId xmlns:a16="http://schemas.microsoft.com/office/drawing/2014/main" id="{A881E09B-AF3D-4EAA-AA9D-43752EA8C3D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5" name="TextBox 1">
          <a:extLst>
            <a:ext uri="{FF2B5EF4-FFF2-40B4-BE49-F238E27FC236}">
              <a16:creationId xmlns:a16="http://schemas.microsoft.com/office/drawing/2014/main" id="{6B136CD4-A6B5-42FA-A1DE-C9112B19BF5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6" name="TextBox 2215">
          <a:extLst>
            <a:ext uri="{FF2B5EF4-FFF2-40B4-BE49-F238E27FC236}">
              <a16:creationId xmlns:a16="http://schemas.microsoft.com/office/drawing/2014/main" id="{ECB87BDD-BEB4-4A6E-B1A9-84B024312A4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7" name="TextBox 2216">
          <a:extLst>
            <a:ext uri="{FF2B5EF4-FFF2-40B4-BE49-F238E27FC236}">
              <a16:creationId xmlns:a16="http://schemas.microsoft.com/office/drawing/2014/main" id="{D42FCF78-92F0-4607-8F1B-D12949399D1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8" name="TextBox 1">
          <a:extLst>
            <a:ext uri="{FF2B5EF4-FFF2-40B4-BE49-F238E27FC236}">
              <a16:creationId xmlns:a16="http://schemas.microsoft.com/office/drawing/2014/main" id="{DA43DD95-6213-4F6E-98A6-6ABF415F55B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9" name="TextBox 1">
          <a:extLst>
            <a:ext uri="{FF2B5EF4-FFF2-40B4-BE49-F238E27FC236}">
              <a16:creationId xmlns:a16="http://schemas.microsoft.com/office/drawing/2014/main" id="{8F1116C3-006E-4F55-8C20-BE2BBEE0CB4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0" name="TextBox 2219">
          <a:extLst>
            <a:ext uri="{FF2B5EF4-FFF2-40B4-BE49-F238E27FC236}">
              <a16:creationId xmlns:a16="http://schemas.microsoft.com/office/drawing/2014/main" id="{5C369FB2-0FB0-4FE2-B42A-4A1C662B9F4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1" name="TextBox 2220">
          <a:extLst>
            <a:ext uri="{FF2B5EF4-FFF2-40B4-BE49-F238E27FC236}">
              <a16:creationId xmlns:a16="http://schemas.microsoft.com/office/drawing/2014/main" id="{DED1B290-B4C9-452E-8CA6-E9C132158A6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2" name="TextBox 1">
          <a:extLst>
            <a:ext uri="{FF2B5EF4-FFF2-40B4-BE49-F238E27FC236}">
              <a16:creationId xmlns:a16="http://schemas.microsoft.com/office/drawing/2014/main" id="{D263F646-27F6-4670-BD33-C8E2BCF943C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3" name="TextBox 1">
          <a:extLst>
            <a:ext uri="{FF2B5EF4-FFF2-40B4-BE49-F238E27FC236}">
              <a16:creationId xmlns:a16="http://schemas.microsoft.com/office/drawing/2014/main" id="{971FD134-96F0-42FB-9708-68E9B0EE0B7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4" name="TextBox 2223">
          <a:extLst>
            <a:ext uri="{FF2B5EF4-FFF2-40B4-BE49-F238E27FC236}">
              <a16:creationId xmlns:a16="http://schemas.microsoft.com/office/drawing/2014/main" id="{4FAEDD76-EDCA-49D3-A0E4-E0B91F7010C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5" name="TextBox 2224">
          <a:extLst>
            <a:ext uri="{FF2B5EF4-FFF2-40B4-BE49-F238E27FC236}">
              <a16:creationId xmlns:a16="http://schemas.microsoft.com/office/drawing/2014/main" id="{E4D9CE48-EB82-41EE-856E-0CABF44A5E7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6" name="TextBox 1">
          <a:extLst>
            <a:ext uri="{FF2B5EF4-FFF2-40B4-BE49-F238E27FC236}">
              <a16:creationId xmlns:a16="http://schemas.microsoft.com/office/drawing/2014/main" id="{E6DF68AC-C8DE-41B9-9067-5687E027EDA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7" name="TextBox 1">
          <a:extLst>
            <a:ext uri="{FF2B5EF4-FFF2-40B4-BE49-F238E27FC236}">
              <a16:creationId xmlns:a16="http://schemas.microsoft.com/office/drawing/2014/main" id="{317E0FF8-13DD-45EF-BEA4-26CA8A1064D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8" name="TextBox 2227">
          <a:extLst>
            <a:ext uri="{FF2B5EF4-FFF2-40B4-BE49-F238E27FC236}">
              <a16:creationId xmlns:a16="http://schemas.microsoft.com/office/drawing/2014/main" id="{6853CBFE-6108-4DB8-A8BD-BC69CDD16F3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9" name="TextBox 2228">
          <a:extLst>
            <a:ext uri="{FF2B5EF4-FFF2-40B4-BE49-F238E27FC236}">
              <a16:creationId xmlns:a16="http://schemas.microsoft.com/office/drawing/2014/main" id="{D0EAF076-1C2E-4164-AEFA-4B1F88CBC5F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0" name="TextBox 1">
          <a:extLst>
            <a:ext uri="{FF2B5EF4-FFF2-40B4-BE49-F238E27FC236}">
              <a16:creationId xmlns:a16="http://schemas.microsoft.com/office/drawing/2014/main" id="{24F8F9A8-26CB-42C7-8935-817295654F2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1" name="TextBox 1">
          <a:extLst>
            <a:ext uri="{FF2B5EF4-FFF2-40B4-BE49-F238E27FC236}">
              <a16:creationId xmlns:a16="http://schemas.microsoft.com/office/drawing/2014/main" id="{F21CD904-255C-41F5-B1F3-75FE0B43B72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2" name="TextBox 2231">
          <a:extLst>
            <a:ext uri="{FF2B5EF4-FFF2-40B4-BE49-F238E27FC236}">
              <a16:creationId xmlns:a16="http://schemas.microsoft.com/office/drawing/2014/main" id="{A340D803-843E-4C3F-A0D3-76AB2F1BAC7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3" name="TextBox 2232">
          <a:extLst>
            <a:ext uri="{FF2B5EF4-FFF2-40B4-BE49-F238E27FC236}">
              <a16:creationId xmlns:a16="http://schemas.microsoft.com/office/drawing/2014/main" id="{69AFB8AA-EDD3-4123-B81A-AD825D83B22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4" name="TextBox 1">
          <a:extLst>
            <a:ext uri="{FF2B5EF4-FFF2-40B4-BE49-F238E27FC236}">
              <a16:creationId xmlns:a16="http://schemas.microsoft.com/office/drawing/2014/main" id="{188C0187-5447-4995-B59E-28F5D5D59BE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5" name="TextBox 1">
          <a:extLst>
            <a:ext uri="{FF2B5EF4-FFF2-40B4-BE49-F238E27FC236}">
              <a16:creationId xmlns:a16="http://schemas.microsoft.com/office/drawing/2014/main" id="{2395FDA6-FBDB-4245-BEE6-2DFB3528601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6" name="TextBox 2235">
          <a:extLst>
            <a:ext uri="{FF2B5EF4-FFF2-40B4-BE49-F238E27FC236}">
              <a16:creationId xmlns:a16="http://schemas.microsoft.com/office/drawing/2014/main" id="{5ACBC868-01AD-4BBA-B811-8B7802091D5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7" name="TextBox 2236">
          <a:extLst>
            <a:ext uri="{FF2B5EF4-FFF2-40B4-BE49-F238E27FC236}">
              <a16:creationId xmlns:a16="http://schemas.microsoft.com/office/drawing/2014/main" id="{429C0E54-FFBC-4E6F-A24F-DA53EAB2AF2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8" name="TextBox 2237">
          <a:extLst>
            <a:ext uri="{FF2B5EF4-FFF2-40B4-BE49-F238E27FC236}">
              <a16:creationId xmlns:a16="http://schemas.microsoft.com/office/drawing/2014/main" id="{75AC5750-875D-42EC-98DA-411237B5BD6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9" name="TextBox 1">
          <a:extLst>
            <a:ext uri="{FF2B5EF4-FFF2-40B4-BE49-F238E27FC236}">
              <a16:creationId xmlns:a16="http://schemas.microsoft.com/office/drawing/2014/main" id="{A55D9549-C716-4696-ACCE-D59F4565706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0" name="TextBox 1">
          <a:extLst>
            <a:ext uri="{FF2B5EF4-FFF2-40B4-BE49-F238E27FC236}">
              <a16:creationId xmlns:a16="http://schemas.microsoft.com/office/drawing/2014/main" id="{B3DF8FE7-C86B-4817-948C-90AABEDD891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1" name="TextBox 2240">
          <a:extLst>
            <a:ext uri="{FF2B5EF4-FFF2-40B4-BE49-F238E27FC236}">
              <a16:creationId xmlns:a16="http://schemas.microsoft.com/office/drawing/2014/main" id="{7A6264FD-97BF-4A2E-ACDC-3F6A665B5C2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2" name="TextBox 2241">
          <a:extLst>
            <a:ext uri="{FF2B5EF4-FFF2-40B4-BE49-F238E27FC236}">
              <a16:creationId xmlns:a16="http://schemas.microsoft.com/office/drawing/2014/main" id="{99B5ED21-7024-45DA-9B5C-FD590253A21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3" name="TextBox 1">
          <a:extLst>
            <a:ext uri="{FF2B5EF4-FFF2-40B4-BE49-F238E27FC236}">
              <a16:creationId xmlns:a16="http://schemas.microsoft.com/office/drawing/2014/main" id="{2F802CC7-1186-432E-ACD9-B969C50DE97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4" name="TextBox 1">
          <a:extLst>
            <a:ext uri="{FF2B5EF4-FFF2-40B4-BE49-F238E27FC236}">
              <a16:creationId xmlns:a16="http://schemas.microsoft.com/office/drawing/2014/main" id="{4520F471-7F78-45C1-B9CC-09D14FBF712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5" name="TextBox 2244">
          <a:extLst>
            <a:ext uri="{FF2B5EF4-FFF2-40B4-BE49-F238E27FC236}">
              <a16:creationId xmlns:a16="http://schemas.microsoft.com/office/drawing/2014/main" id="{E82441C0-7E53-4F1B-9A37-9F3C9743370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6" name="TextBox 2245">
          <a:extLst>
            <a:ext uri="{FF2B5EF4-FFF2-40B4-BE49-F238E27FC236}">
              <a16:creationId xmlns:a16="http://schemas.microsoft.com/office/drawing/2014/main" id="{7CA636BA-50DF-47B0-9543-668D94A52E2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7" name="TextBox 1">
          <a:extLst>
            <a:ext uri="{FF2B5EF4-FFF2-40B4-BE49-F238E27FC236}">
              <a16:creationId xmlns:a16="http://schemas.microsoft.com/office/drawing/2014/main" id="{8E226F95-8AE1-4843-B5DD-292986C1542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8" name="TextBox 1">
          <a:extLst>
            <a:ext uri="{FF2B5EF4-FFF2-40B4-BE49-F238E27FC236}">
              <a16:creationId xmlns:a16="http://schemas.microsoft.com/office/drawing/2014/main" id="{054092EC-6578-440E-B290-D4A4E792735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9" name="TextBox 2248">
          <a:extLst>
            <a:ext uri="{FF2B5EF4-FFF2-40B4-BE49-F238E27FC236}">
              <a16:creationId xmlns:a16="http://schemas.microsoft.com/office/drawing/2014/main" id="{98460AB7-9061-4CDE-A8A5-B9FC7134DEB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0" name="TextBox 2249">
          <a:extLst>
            <a:ext uri="{FF2B5EF4-FFF2-40B4-BE49-F238E27FC236}">
              <a16:creationId xmlns:a16="http://schemas.microsoft.com/office/drawing/2014/main" id="{EEB75FFE-0096-4248-A447-049755B62FA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1" name="TextBox 1">
          <a:extLst>
            <a:ext uri="{FF2B5EF4-FFF2-40B4-BE49-F238E27FC236}">
              <a16:creationId xmlns:a16="http://schemas.microsoft.com/office/drawing/2014/main" id="{183C8311-089D-4F49-87EC-9066282ECB7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2" name="TextBox 1">
          <a:extLst>
            <a:ext uri="{FF2B5EF4-FFF2-40B4-BE49-F238E27FC236}">
              <a16:creationId xmlns:a16="http://schemas.microsoft.com/office/drawing/2014/main" id="{E86F9E98-8AA7-41B4-8BC9-30F2B9D5370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3" name="TextBox 2252">
          <a:extLst>
            <a:ext uri="{FF2B5EF4-FFF2-40B4-BE49-F238E27FC236}">
              <a16:creationId xmlns:a16="http://schemas.microsoft.com/office/drawing/2014/main" id="{F1646E8A-6E1B-4B27-897C-49126CAAC3F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4" name="TextBox 2253">
          <a:extLst>
            <a:ext uri="{FF2B5EF4-FFF2-40B4-BE49-F238E27FC236}">
              <a16:creationId xmlns:a16="http://schemas.microsoft.com/office/drawing/2014/main" id="{E81CFA8E-6EB4-42A4-AFFA-24B0CD9645E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5" name="TextBox 1">
          <a:extLst>
            <a:ext uri="{FF2B5EF4-FFF2-40B4-BE49-F238E27FC236}">
              <a16:creationId xmlns:a16="http://schemas.microsoft.com/office/drawing/2014/main" id="{4C44234D-894E-47A3-AB06-EF1F04E5366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6" name="TextBox 1">
          <a:extLst>
            <a:ext uri="{FF2B5EF4-FFF2-40B4-BE49-F238E27FC236}">
              <a16:creationId xmlns:a16="http://schemas.microsoft.com/office/drawing/2014/main" id="{5427A85A-11D2-428F-9902-90EDAD5F7F9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7" name="TextBox 2256">
          <a:extLst>
            <a:ext uri="{FF2B5EF4-FFF2-40B4-BE49-F238E27FC236}">
              <a16:creationId xmlns:a16="http://schemas.microsoft.com/office/drawing/2014/main" id="{0F619EE2-010E-40F4-8AAD-8811E9628EA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8" name="TextBox 2257">
          <a:extLst>
            <a:ext uri="{FF2B5EF4-FFF2-40B4-BE49-F238E27FC236}">
              <a16:creationId xmlns:a16="http://schemas.microsoft.com/office/drawing/2014/main" id="{30EB6E3B-D74A-4945-BAA6-AEC86F25F49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9" name="TextBox 1">
          <a:extLst>
            <a:ext uri="{FF2B5EF4-FFF2-40B4-BE49-F238E27FC236}">
              <a16:creationId xmlns:a16="http://schemas.microsoft.com/office/drawing/2014/main" id="{AD673375-67B3-448D-A5BE-9F9DCB14BB3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0" name="TextBox 1">
          <a:extLst>
            <a:ext uri="{FF2B5EF4-FFF2-40B4-BE49-F238E27FC236}">
              <a16:creationId xmlns:a16="http://schemas.microsoft.com/office/drawing/2014/main" id="{DFDED1BF-237D-468D-8E56-AF415D37A21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1" name="TextBox 2260">
          <a:extLst>
            <a:ext uri="{FF2B5EF4-FFF2-40B4-BE49-F238E27FC236}">
              <a16:creationId xmlns:a16="http://schemas.microsoft.com/office/drawing/2014/main" id="{C03098FC-CCAC-4668-805C-8783F72D2A8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2" name="TextBox 2261">
          <a:extLst>
            <a:ext uri="{FF2B5EF4-FFF2-40B4-BE49-F238E27FC236}">
              <a16:creationId xmlns:a16="http://schemas.microsoft.com/office/drawing/2014/main" id="{4C03CD43-910E-4E9D-A3F7-9F35EFE2122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3" name="TextBox 1">
          <a:extLst>
            <a:ext uri="{FF2B5EF4-FFF2-40B4-BE49-F238E27FC236}">
              <a16:creationId xmlns:a16="http://schemas.microsoft.com/office/drawing/2014/main" id="{2A9E59E5-CB6D-4FD5-98D8-9445C1CAEBF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4" name="TextBox 1">
          <a:extLst>
            <a:ext uri="{FF2B5EF4-FFF2-40B4-BE49-F238E27FC236}">
              <a16:creationId xmlns:a16="http://schemas.microsoft.com/office/drawing/2014/main" id="{688DE75D-ABEE-4195-9E27-5B493C3C82E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5" name="TextBox 2264">
          <a:extLst>
            <a:ext uri="{FF2B5EF4-FFF2-40B4-BE49-F238E27FC236}">
              <a16:creationId xmlns:a16="http://schemas.microsoft.com/office/drawing/2014/main" id="{C65E678C-9DBD-40A7-A3AF-02D02F574E0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6" name="TextBox 2265">
          <a:extLst>
            <a:ext uri="{FF2B5EF4-FFF2-40B4-BE49-F238E27FC236}">
              <a16:creationId xmlns:a16="http://schemas.microsoft.com/office/drawing/2014/main" id="{D2D5D4E2-9115-476A-BF46-FA84DF9C37B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7" name="TextBox 1">
          <a:extLst>
            <a:ext uri="{FF2B5EF4-FFF2-40B4-BE49-F238E27FC236}">
              <a16:creationId xmlns:a16="http://schemas.microsoft.com/office/drawing/2014/main" id="{089EFC1F-DBC7-4B70-A6E5-E1F264D5D84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8" name="TextBox 1">
          <a:extLst>
            <a:ext uri="{FF2B5EF4-FFF2-40B4-BE49-F238E27FC236}">
              <a16:creationId xmlns:a16="http://schemas.microsoft.com/office/drawing/2014/main" id="{D8DD96DA-21B0-4D94-95EF-98EAFE7CFBC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9" name="TextBox 2268">
          <a:extLst>
            <a:ext uri="{FF2B5EF4-FFF2-40B4-BE49-F238E27FC236}">
              <a16:creationId xmlns:a16="http://schemas.microsoft.com/office/drawing/2014/main" id="{EB3B700F-8389-4E42-876A-F90535A8933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0" name="TextBox 2269">
          <a:extLst>
            <a:ext uri="{FF2B5EF4-FFF2-40B4-BE49-F238E27FC236}">
              <a16:creationId xmlns:a16="http://schemas.microsoft.com/office/drawing/2014/main" id="{B38CA9F1-614A-4ABC-89A1-B6A867BAEC1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1" name="TextBox 1">
          <a:extLst>
            <a:ext uri="{FF2B5EF4-FFF2-40B4-BE49-F238E27FC236}">
              <a16:creationId xmlns:a16="http://schemas.microsoft.com/office/drawing/2014/main" id="{DD9127B2-EA9F-4F2A-8672-6ADE469F91E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2" name="TextBox 1">
          <a:extLst>
            <a:ext uri="{FF2B5EF4-FFF2-40B4-BE49-F238E27FC236}">
              <a16:creationId xmlns:a16="http://schemas.microsoft.com/office/drawing/2014/main" id="{27DB80B5-5410-4870-A784-DB22C665D6C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3" name="TextBox 2272">
          <a:extLst>
            <a:ext uri="{FF2B5EF4-FFF2-40B4-BE49-F238E27FC236}">
              <a16:creationId xmlns:a16="http://schemas.microsoft.com/office/drawing/2014/main" id="{0C2F6231-4D6E-4784-9297-A16B889397F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4" name="TextBox 1">
          <a:extLst>
            <a:ext uri="{FF2B5EF4-FFF2-40B4-BE49-F238E27FC236}">
              <a16:creationId xmlns:a16="http://schemas.microsoft.com/office/drawing/2014/main" id="{BF21D172-84FB-456D-B6E7-76E78B261F6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5" name="TextBox 1">
          <a:extLst>
            <a:ext uri="{FF2B5EF4-FFF2-40B4-BE49-F238E27FC236}">
              <a16:creationId xmlns:a16="http://schemas.microsoft.com/office/drawing/2014/main" id="{692578BE-6E54-45FE-B72F-FD57CC1E4A6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6" name="TextBox 2275">
          <a:extLst>
            <a:ext uri="{FF2B5EF4-FFF2-40B4-BE49-F238E27FC236}">
              <a16:creationId xmlns:a16="http://schemas.microsoft.com/office/drawing/2014/main" id="{17595F02-3E7A-4934-B713-035A551E2E7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7" name="TextBox 1">
          <a:extLst>
            <a:ext uri="{FF2B5EF4-FFF2-40B4-BE49-F238E27FC236}">
              <a16:creationId xmlns:a16="http://schemas.microsoft.com/office/drawing/2014/main" id="{CC6F8BBA-7065-492F-92A2-07619AB98D8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8" name="TextBox 2277">
          <a:extLst>
            <a:ext uri="{FF2B5EF4-FFF2-40B4-BE49-F238E27FC236}">
              <a16:creationId xmlns:a16="http://schemas.microsoft.com/office/drawing/2014/main" id="{F723689E-78B2-43A1-976F-10CE6A826B0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9" name="TextBox 1">
          <a:extLst>
            <a:ext uri="{FF2B5EF4-FFF2-40B4-BE49-F238E27FC236}">
              <a16:creationId xmlns:a16="http://schemas.microsoft.com/office/drawing/2014/main" id="{7DFC2F2E-28A3-4833-8FBB-41DA7219DE8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0" name="TextBox 1">
          <a:extLst>
            <a:ext uri="{FF2B5EF4-FFF2-40B4-BE49-F238E27FC236}">
              <a16:creationId xmlns:a16="http://schemas.microsoft.com/office/drawing/2014/main" id="{F92956BE-03C1-4621-933A-2E6928CBF5A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1" name="TextBox 2280">
          <a:extLst>
            <a:ext uri="{FF2B5EF4-FFF2-40B4-BE49-F238E27FC236}">
              <a16:creationId xmlns:a16="http://schemas.microsoft.com/office/drawing/2014/main" id="{9EA1DBCF-10D3-4543-BA81-40ACFA6764B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2" name="TextBox 2281">
          <a:extLst>
            <a:ext uri="{FF2B5EF4-FFF2-40B4-BE49-F238E27FC236}">
              <a16:creationId xmlns:a16="http://schemas.microsoft.com/office/drawing/2014/main" id="{03013C50-4A7F-464A-9FE2-B5A91383F0E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3" name="TextBox 1">
          <a:extLst>
            <a:ext uri="{FF2B5EF4-FFF2-40B4-BE49-F238E27FC236}">
              <a16:creationId xmlns:a16="http://schemas.microsoft.com/office/drawing/2014/main" id="{034D908A-7709-48A0-848F-465A9882F99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4" name="TextBox 1">
          <a:extLst>
            <a:ext uri="{FF2B5EF4-FFF2-40B4-BE49-F238E27FC236}">
              <a16:creationId xmlns:a16="http://schemas.microsoft.com/office/drawing/2014/main" id="{B8566A5E-CD09-40BC-972E-3E9AE83422C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5" name="TextBox 2284">
          <a:extLst>
            <a:ext uri="{FF2B5EF4-FFF2-40B4-BE49-F238E27FC236}">
              <a16:creationId xmlns:a16="http://schemas.microsoft.com/office/drawing/2014/main" id="{EE2FCC3B-5722-42CF-8568-372675BFB46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6" name="TextBox 2285">
          <a:extLst>
            <a:ext uri="{FF2B5EF4-FFF2-40B4-BE49-F238E27FC236}">
              <a16:creationId xmlns:a16="http://schemas.microsoft.com/office/drawing/2014/main" id="{97B575DF-26CE-4E07-8A0F-F55B3EA8A7F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7" name="TextBox 2286">
          <a:extLst>
            <a:ext uri="{FF2B5EF4-FFF2-40B4-BE49-F238E27FC236}">
              <a16:creationId xmlns:a16="http://schemas.microsoft.com/office/drawing/2014/main" id="{77A4B838-C7C5-4BAA-B03D-84689779926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8" name="TextBox 1">
          <a:extLst>
            <a:ext uri="{FF2B5EF4-FFF2-40B4-BE49-F238E27FC236}">
              <a16:creationId xmlns:a16="http://schemas.microsoft.com/office/drawing/2014/main" id="{AC02D921-F113-452D-88DB-8C120780473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9" name="TextBox 1">
          <a:extLst>
            <a:ext uri="{FF2B5EF4-FFF2-40B4-BE49-F238E27FC236}">
              <a16:creationId xmlns:a16="http://schemas.microsoft.com/office/drawing/2014/main" id="{51FDA055-F7B0-46BE-9A75-906E5D2E009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0" name="TextBox 2289">
          <a:extLst>
            <a:ext uri="{FF2B5EF4-FFF2-40B4-BE49-F238E27FC236}">
              <a16:creationId xmlns:a16="http://schemas.microsoft.com/office/drawing/2014/main" id="{503F7FD1-5E23-4944-80E9-0D79988B398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1" name="TextBox 2290">
          <a:extLst>
            <a:ext uri="{FF2B5EF4-FFF2-40B4-BE49-F238E27FC236}">
              <a16:creationId xmlns:a16="http://schemas.microsoft.com/office/drawing/2014/main" id="{24CB4A76-3BE8-497F-8826-223F94649AC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2" name="TextBox 1">
          <a:extLst>
            <a:ext uri="{FF2B5EF4-FFF2-40B4-BE49-F238E27FC236}">
              <a16:creationId xmlns:a16="http://schemas.microsoft.com/office/drawing/2014/main" id="{8FDD6589-AC27-4801-8C41-F624EEE7097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3" name="TextBox 1">
          <a:extLst>
            <a:ext uri="{FF2B5EF4-FFF2-40B4-BE49-F238E27FC236}">
              <a16:creationId xmlns:a16="http://schemas.microsoft.com/office/drawing/2014/main" id="{30B4C366-5A47-4460-BE56-3848690EB4A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4" name="TextBox 2293">
          <a:extLst>
            <a:ext uri="{FF2B5EF4-FFF2-40B4-BE49-F238E27FC236}">
              <a16:creationId xmlns:a16="http://schemas.microsoft.com/office/drawing/2014/main" id="{60CBA25E-17BE-4F79-BAD8-C2A0EB037FD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5" name="TextBox 2294">
          <a:extLst>
            <a:ext uri="{FF2B5EF4-FFF2-40B4-BE49-F238E27FC236}">
              <a16:creationId xmlns:a16="http://schemas.microsoft.com/office/drawing/2014/main" id="{E2E1C511-373A-4022-99CB-FEAF9ACB00B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6" name="TextBox 1">
          <a:extLst>
            <a:ext uri="{FF2B5EF4-FFF2-40B4-BE49-F238E27FC236}">
              <a16:creationId xmlns:a16="http://schemas.microsoft.com/office/drawing/2014/main" id="{8E1BEC26-7488-4691-873D-BA8946BD52F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7" name="TextBox 1">
          <a:extLst>
            <a:ext uri="{FF2B5EF4-FFF2-40B4-BE49-F238E27FC236}">
              <a16:creationId xmlns:a16="http://schemas.microsoft.com/office/drawing/2014/main" id="{79EF4A5F-DF19-461C-9C43-694D615248E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8" name="TextBox 2297">
          <a:extLst>
            <a:ext uri="{FF2B5EF4-FFF2-40B4-BE49-F238E27FC236}">
              <a16:creationId xmlns:a16="http://schemas.microsoft.com/office/drawing/2014/main" id="{0CB85051-566F-4E44-A9DB-1605C4D0A3C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9" name="TextBox 2298">
          <a:extLst>
            <a:ext uri="{FF2B5EF4-FFF2-40B4-BE49-F238E27FC236}">
              <a16:creationId xmlns:a16="http://schemas.microsoft.com/office/drawing/2014/main" id="{4894385E-78DB-4EDB-970B-2B6A6642B8C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0" name="TextBox 1">
          <a:extLst>
            <a:ext uri="{FF2B5EF4-FFF2-40B4-BE49-F238E27FC236}">
              <a16:creationId xmlns:a16="http://schemas.microsoft.com/office/drawing/2014/main" id="{AEB421D6-F678-46B4-BE7A-8C0645E76AA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1" name="TextBox 1">
          <a:extLst>
            <a:ext uri="{FF2B5EF4-FFF2-40B4-BE49-F238E27FC236}">
              <a16:creationId xmlns:a16="http://schemas.microsoft.com/office/drawing/2014/main" id="{992E9ABC-5E2C-4B87-8A33-9E3D9F885B6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2" name="TextBox 2301">
          <a:extLst>
            <a:ext uri="{FF2B5EF4-FFF2-40B4-BE49-F238E27FC236}">
              <a16:creationId xmlns:a16="http://schemas.microsoft.com/office/drawing/2014/main" id="{0CA814F0-83B7-4E0B-9E87-DED88D19585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3" name="TextBox 2302">
          <a:extLst>
            <a:ext uri="{FF2B5EF4-FFF2-40B4-BE49-F238E27FC236}">
              <a16:creationId xmlns:a16="http://schemas.microsoft.com/office/drawing/2014/main" id="{9D8086E5-7E05-4068-AAAD-9C039772BC7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4" name="TextBox 1">
          <a:extLst>
            <a:ext uri="{FF2B5EF4-FFF2-40B4-BE49-F238E27FC236}">
              <a16:creationId xmlns:a16="http://schemas.microsoft.com/office/drawing/2014/main" id="{1BD53329-053F-48B6-A19B-B72670C6640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5" name="TextBox 1">
          <a:extLst>
            <a:ext uri="{FF2B5EF4-FFF2-40B4-BE49-F238E27FC236}">
              <a16:creationId xmlns:a16="http://schemas.microsoft.com/office/drawing/2014/main" id="{196D11DF-DAA8-4F01-9A96-C5849A24B20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6" name="TextBox 2305">
          <a:extLst>
            <a:ext uri="{FF2B5EF4-FFF2-40B4-BE49-F238E27FC236}">
              <a16:creationId xmlns:a16="http://schemas.microsoft.com/office/drawing/2014/main" id="{CE8B0868-530A-45A6-AD9F-0BBA2171042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7" name="TextBox 2306">
          <a:extLst>
            <a:ext uri="{FF2B5EF4-FFF2-40B4-BE49-F238E27FC236}">
              <a16:creationId xmlns:a16="http://schemas.microsoft.com/office/drawing/2014/main" id="{D8997EA4-A29D-47C7-9214-ACCFF9A663D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8" name="TextBox 1">
          <a:extLst>
            <a:ext uri="{FF2B5EF4-FFF2-40B4-BE49-F238E27FC236}">
              <a16:creationId xmlns:a16="http://schemas.microsoft.com/office/drawing/2014/main" id="{10851332-D190-4E73-9A96-44FC2B8D0CA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9" name="TextBox 1">
          <a:extLst>
            <a:ext uri="{FF2B5EF4-FFF2-40B4-BE49-F238E27FC236}">
              <a16:creationId xmlns:a16="http://schemas.microsoft.com/office/drawing/2014/main" id="{DFFB2ABF-B00F-4647-8AB3-3BB4FBCB27B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0" name="TextBox 2309">
          <a:extLst>
            <a:ext uri="{FF2B5EF4-FFF2-40B4-BE49-F238E27FC236}">
              <a16:creationId xmlns:a16="http://schemas.microsoft.com/office/drawing/2014/main" id="{F6A93656-6297-44A5-B6D9-3C7797B4490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1" name="TextBox 2310">
          <a:extLst>
            <a:ext uri="{FF2B5EF4-FFF2-40B4-BE49-F238E27FC236}">
              <a16:creationId xmlns:a16="http://schemas.microsoft.com/office/drawing/2014/main" id="{2B0DC718-C8F2-43FB-A75A-3F8C5D3C414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2" name="TextBox 1">
          <a:extLst>
            <a:ext uri="{FF2B5EF4-FFF2-40B4-BE49-F238E27FC236}">
              <a16:creationId xmlns:a16="http://schemas.microsoft.com/office/drawing/2014/main" id="{F0874BBF-E5C7-4184-A4D3-62C14818C67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3" name="TextBox 1">
          <a:extLst>
            <a:ext uri="{FF2B5EF4-FFF2-40B4-BE49-F238E27FC236}">
              <a16:creationId xmlns:a16="http://schemas.microsoft.com/office/drawing/2014/main" id="{465B8DAC-33F1-4BF7-9022-77E068F5C9C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4" name="TextBox 2313">
          <a:extLst>
            <a:ext uri="{FF2B5EF4-FFF2-40B4-BE49-F238E27FC236}">
              <a16:creationId xmlns:a16="http://schemas.microsoft.com/office/drawing/2014/main" id="{88126062-ED29-4B2C-A2A5-3D545AEF699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5" name="TextBox 2314">
          <a:extLst>
            <a:ext uri="{FF2B5EF4-FFF2-40B4-BE49-F238E27FC236}">
              <a16:creationId xmlns:a16="http://schemas.microsoft.com/office/drawing/2014/main" id="{EF159C10-0BC1-476B-905E-22E2B421C51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6" name="TextBox 1">
          <a:extLst>
            <a:ext uri="{FF2B5EF4-FFF2-40B4-BE49-F238E27FC236}">
              <a16:creationId xmlns:a16="http://schemas.microsoft.com/office/drawing/2014/main" id="{AB085054-B848-4FF8-A23A-E5BEE14A966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7" name="TextBox 1">
          <a:extLst>
            <a:ext uri="{FF2B5EF4-FFF2-40B4-BE49-F238E27FC236}">
              <a16:creationId xmlns:a16="http://schemas.microsoft.com/office/drawing/2014/main" id="{1A96D351-C878-4DC7-A773-E773F51936F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8" name="TextBox 2317">
          <a:extLst>
            <a:ext uri="{FF2B5EF4-FFF2-40B4-BE49-F238E27FC236}">
              <a16:creationId xmlns:a16="http://schemas.microsoft.com/office/drawing/2014/main" id="{C4B8A568-2533-4795-9A0E-A54441A46FE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9" name="TextBox 2318">
          <a:extLst>
            <a:ext uri="{FF2B5EF4-FFF2-40B4-BE49-F238E27FC236}">
              <a16:creationId xmlns:a16="http://schemas.microsoft.com/office/drawing/2014/main" id="{A6D2750D-1383-4A79-ADEF-41DF350FBAB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0" name="TextBox 1">
          <a:extLst>
            <a:ext uri="{FF2B5EF4-FFF2-40B4-BE49-F238E27FC236}">
              <a16:creationId xmlns:a16="http://schemas.microsoft.com/office/drawing/2014/main" id="{93C8934B-D4F5-44B7-938E-DD8F6B2FBBB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1" name="TextBox 1">
          <a:extLst>
            <a:ext uri="{FF2B5EF4-FFF2-40B4-BE49-F238E27FC236}">
              <a16:creationId xmlns:a16="http://schemas.microsoft.com/office/drawing/2014/main" id="{534630F5-FEAD-4CBC-93ED-8AB2A09F076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2" name="TextBox 2321">
          <a:extLst>
            <a:ext uri="{FF2B5EF4-FFF2-40B4-BE49-F238E27FC236}">
              <a16:creationId xmlns:a16="http://schemas.microsoft.com/office/drawing/2014/main" id="{49CC734E-ED27-4802-937F-7A13F4D5F27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3" name="TextBox 2322">
          <a:extLst>
            <a:ext uri="{FF2B5EF4-FFF2-40B4-BE49-F238E27FC236}">
              <a16:creationId xmlns:a16="http://schemas.microsoft.com/office/drawing/2014/main" id="{A7DB0EA7-D609-404B-A49E-ACAFDE848DE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4" name="TextBox 2323">
          <a:extLst>
            <a:ext uri="{FF2B5EF4-FFF2-40B4-BE49-F238E27FC236}">
              <a16:creationId xmlns:a16="http://schemas.microsoft.com/office/drawing/2014/main" id="{E421E979-4DA5-4F04-9516-3C2114610F6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5" name="TextBox 1">
          <a:extLst>
            <a:ext uri="{FF2B5EF4-FFF2-40B4-BE49-F238E27FC236}">
              <a16:creationId xmlns:a16="http://schemas.microsoft.com/office/drawing/2014/main" id="{A847E657-1445-4AFB-B649-5CB1F2EE541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6" name="TextBox 1">
          <a:extLst>
            <a:ext uri="{FF2B5EF4-FFF2-40B4-BE49-F238E27FC236}">
              <a16:creationId xmlns:a16="http://schemas.microsoft.com/office/drawing/2014/main" id="{5CEA7E28-2DFD-4C65-A6AB-74DA14C727E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7" name="TextBox 2326">
          <a:extLst>
            <a:ext uri="{FF2B5EF4-FFF2-40B4-BE49-F238E27FC236}">
              <a16:creationId xmlns:a16="http://schemas.microsoft.com/office/drawing/2014/main" id="{361B8224-1C78-4058-BEB6-B01B469C577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8" name="TextBox 2327">
          <a:extLst>
            <a:ext uri="{FF2B5EF4-FFF2-40B4-BE49-F238E27FC236}">
              <a16:creationId xmlns:a16="http://schemas.microsoft.com/office/drawing/2014/main" id="{31BC64A3-7B8E-46B4-BFD0-118A728C7A5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9" name="TextBox 1">
          <a:extLst>
            <a:ext uri="{FF2B5EF4-FFF2-40B4-BE49-F238E27FC236}">
              <a16:creationId xmlns:a16="http://schemas.microsoft.com/office/drawing/2014/main" id="{42491815-CA36-4152-BB8C-D133D0BE1E5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0" name="TextBox 1">
          <a:extLst>
            <a:ext uri="{FF2B5EF4-FFF2-40B4-BE49-F238E27FC236}">
              <a16:creationId xmlns:a16="http://schemas.microsoft.com/office/drawing/2014/main" id="{371B7106-D1D0-4CC7-BA9D-1EE94CCE700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1" name="TextBox 2330">
          <a:extLst>
            <a:ext uri="{FF2B5EF4-FFF2-40B4-BE49-F238E27FC236}">
              <a16:creationId xmlns:a16="http://schemas.microsoft.com/office/drawing/2014/main" id="{0CDE8EE9-C352-46E1-BB0E-ABD078CB65D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2" name="TextBox 2331">
          <a:extLst>
            <a:ext uri="{FF2B5EF4-FFF2-40B4-BE49-F238E27FC236}">
              <a16:creationId xmlns:a16="http://schemas.microsoft.com/office/drawing/2014/main" id="{3B8A8428-8D9C-4068-84C4-20CF6B002E9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3" name="TextBox 1">
          <a:extLst>
            <a:ext uri="{FF2B5EF4-FFF2-40B4-BE49-F238E27FC236}">
              <a16:creationId xmlns:a16="http://schemas.microsoft.com/office/drawing/2014/main" id="{CC74093F-E626-49C1-A158-A659BC8F066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4" name="TextBox 1">
          <a:extLst>
            <a:ext uri="{FF2B5EF4-FFF2-40B4-BE49-F238E27FC236}">
              <a16:creationId xmlns:a16="http://schemas.microsoft.com/office/drawing/2014/main" id="{D3B1A8B8-E715-4DE2-B1BF-60B56CC9A0B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5" name="TextBox 2334">
          <a:extLst>
            <a:ext uri="{FF2B5EF4-FFF2-40B4-BE49-F238E27FC236}">
              <a16:creationId xmlns:a16="http://schemas.microsoft.com/office/drawing/2014/main" id="{03E846A5-5DEE-4F6B-A631-2EBB26387BE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6" name="TextBox 2335">
          <a:extLst>
            <a:ext uri="{FF2B5EF4-FFF2-40B4-BE49-F238E27FC236}">
              <a16:creationId xmlns:a16="http://schemas.microsoft.com/office/drawing/2014/main" id="{3EFF26C8-EF22-4566-AF3C-72A946164B7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7" name="TextBox 1">
          <a:extLst>
            <a:ext uri="{FF2B5EF4-FFF2-40B4-BE49-F238E27FC236}">
              <a16:creationId xmlns:a16="http://schemas.microsoft.com/office/drawing/2014/main" id="{756D3F91-BC39-4CD5-8109-87A1F050B97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8" name="TextBox 1">
          <a:extLst>
            <a:ext uri="{FF2B5EF4-FFF2-40B4-BE49-F238E27FC236}">
              <a16:creationId xmlns:a16="http://schemas.microsoft.com/office/drawing/2014/main" id="{17A06FF6-148C-4E18-B5BF-96F1095E65E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9" name="TextBox 2338">
          <a:extLst>
            <a:ext uri="{FF2B5EF4-FFF2-40B4-BE49-F238E27FC236}">
              <a16:creationId xmlns:a16="http://schemas.microsoft.com/office/drawing/2014/main" id="{5740BC6F-CD40-47F4-A538-5ECAF6074FF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0" name="TextBox 2339">
          <a:extLst>
            <a:ext uri="{FF2B5EF4-FFF2-40B4-BE49-F238E27FC236}">
              <a16:creationId xmlns:a16="http://schemas.microsoft.com/office/drawing/2014/main" id="{718FD25E-A296-4763-9129-41B29C80FEB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1" name="TextBox 1">
          <a:extLst>
            <a:ext uri="{FF2B5EF4-FFF2-40B4-BE49-F238E27FC236}">
              <a16:creationId xmlns:a16="http://schemas.microsoft.com/office/drawing/2014/main" id="{A6D18713-3698-4976-AF15-D426F3F7FF6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2" name="TextBox 1">
          <a:extLst>
            <a:ext uri="{FF2B5EF4-FFF2-40B4-BE49-F238E27FC236}">
              <a16:creationId xmlns:a16="http://schemas.microsoft.com/office/drawing/2014/main" id="{6A5AD2C9-A15A-426E-93D6-162EF67E4A6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3" name="TextBox 2342">
          <a:extLst>
            <a:ext uri="{FF2B5EF4-FFF2-40B4-BE49-F238E27FC236}">
              <a16:creationId xmlns:a16="http://schemas.microsoft.com/office/drawing/2014/main" id="{B5309638-AB3B-44FC-9603-F980211C932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4" name="TextBox 2343">
          <a:extLst>
            <a:ext uri="{FF2B5EF4-FFF2-40B4-BE49-F238E27FC236}">
              <a16:creationId xmlns:a16="http://schemas.microsoft.com/office/drawing/2014/main" id="{ADEB438A-B485-42D4-8446-A76A83E8CF6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5" name="TextBox 1">
          <a:extLst>
            <a:ext uri="{FF2B5EF4-FFF2-40B4-BE49-F238E27FC236}">
              <a16:creationId xmlns:a16="http://schemas.microsoft.com/office/drawing/2014/main" id="{98F57C02-7886-46FC-B655-56CD6E0B2D5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6" name="TextBox 1">
          <a:extLst>
            <a:ext uri="{FF2B5EF4-FFF2-40B4-BE49-F238E27FC236}">
              <a16:creationId xmlns:a16="http://schemas.microsoft.com/office/drawing/2014/main" id="{D330056C-96BC-48EF-9744-B199BC9CC1A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7" name="TextBox 2346">
          <a:extLst>
            <a:ext uri="{FF2B5EF4-FFF2-40B4-BE49-F238E27FC236}">
              <a16:creationId xmlns:a16="http://schemas.microsoft.com/office/drawing/2014/main" id="{D5F7C09F-D000-4367-9DAA-3EDEA16E034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8" name="TextBox 2347">
          <a:extLst>
            <a:ext uri="{FF2B5EF4-FFF2-40B4-BE49-F238E27FC236}">
              <a16:creationId xmlns:a16="http://schemas.microsoft.com/office/drawing/2014/main" id="{FEA8597B-88D4-4418-9B64-B32DDB76550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9" name="TextBox 1">
          <a:extLst>
            <a:ext uri="{FF2B5EF4-FFF2-40B4-BE49-F238E27FC236}">
              <a16:creationId xmlns:a16="http://schemas.microsoft.com/office/drawing/2014/main" id="{F7EAE3A0-6098-4F60-BE35-0A1FEB0B812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0" name="TextBox 1">
          <a:extLst>
            <a:ext uri="{FF2B5EF4-FFF2-40B4-BE49-F238E27FC236}">
              <a16:creationId xmlns:a16="http://schemas.microsoft.com/office/drawing/2014/main" id="{E9DBC3DF-C449-49C5-A196-AF04DCDF8A5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1" name="TextBox 2350">
          <a:extLst>
            <a:ext uri="{FF2B5EF4-FFF2-40B4-BE49-F238E27FC236}">
              <a16:creationId xmlns:a16="http://schemas.microsoft.com/office/drawing/2014/main" id="{29D6A134-A0FA-4108-892B-481D2832727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2" name="TextBox 2351">
          <a:extLst>
            <a:ext uri="{FF2B5EF4-FFF2-40B4-BE49-F238E27FC236}">
              <a16:creationId xmlns:a16="http://schemas.microsoft.com/office/drawing/2014/main" id="{6ACE4F1C-1E26-4E4C-82CD-4B6EC8C4AEB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3" name="TextBox 1">
          <a:extLst>
            <a:ext uri="{FF2B5EF4-FFF2-40B4-BE49-F238E27FC236}">
              <a16:creationId xmlns:a16="http://schemas.microsoft.com/office/drawing/2014/main" id="{31A3E84C-1250-433E-BE10-428BC6239FE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4" name="TextBox 1">
          <a:extLst>
            <a:ext uri="{FF2B5EF4-FFF2-40B4-BE49-F238E27FC236}">
              <a16:creationId xmlns:a16="http://schemas.microsoft.com/office/drawing/2014/main" id="{2C4FA0C1-D5D9-4D40-AFBB-D1FBDC07598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5" name="TextBox 2354">
          <a:extLst>
            <a:ext uri="{FF2B5EF4-FFF2-40B4-BE49-F238E27FC236}">
              <a16:creationId xmlns:a16="http://schemas.microsoft.com/office/drawing/2014/main" id="{77298875-F0E2-4DBE-A119-DDCC5B9DAA0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6" name="TextBox 2355">
          <a:extLst>
            <a:ext uri="{FF2B5EF4-FFF2-40B4-BE49-F238E27FC236}">
              <a16:creationId xmlns:a16="http://schemas.microsoft.com/office/drawing/2014/main" id="{31838293-B2D2-41F7-BF43-D597BBB71BE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7" name="TextBox 1">
          <a:extLst>
            <a:ext uri="{FF2B5EF4-FFF2-40B4-BE49-F238E27FC236}">
              <a16:creationId xmlns:a16="http://schemas.microsoft.com/office/drawing/2014/main" id="{823B6C3C-41D3-428B-835E-4E38CFB9237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8" name="TextBox 1">
          <a:extLst>
            <a:ext uri="{FF2B5EF4-FFF2-40B4-BE49-F238E27FC236}">
              <a16:creationId xmlns:a16="http://schemas.microsoft.com/office/drawing/2014/main" id="{B1F9A21C-9622-45D2-8700-A20B26BFB15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9" name="TextBox 2358">
          <a:extLst>
            <a:ext uri="{FF2B5EF4-FFF2-40B4-BE49-F238E27FC236}">
              <a16:creationId xmlns:a16="http://schemas.microsoft.com/office/drawing/2014/main" id="{63B091FA-F850-43B1-806F-655F5E92F0E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0" name="TextBox 2359">
          <a:extLst>
            <a:ext uri="{FF2B5EF4-FFF2-40B4-BE49-F238E27FC236}">
              <a16:creationId xmlns:a16="http://schemas.microsoft.com/office/drawing/2014/main" id="{78E99BDC-3B7A-48F5-839E-01A9082BB03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1" name="TextBox 1">
          <a:extLst>
            <a:ext uri="{FF2B5EF4-FFF2-40B4-BE49-F238E27FC236}">
              <a16:creationId xmlns:a16="http://schemas.microsoft.com/office/drawing/2014/main" id="{C6593BCD-91D2-4E14-9ADB-402494A21C5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2" name="TextBox 1">
          <a:extLst>
            <a:ext uri="{FF2B5EF4-FFF2-40B4-BE49-F238E27FC236}">
              <a16:creationId xmlns:a16="http://schemas.microsoft.com/office/drawing/2014/main" id="{AE503FDC-7E67-4AE5-954F-646E923EA14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3" name="TextBox 2362">
          <a:extLst>
            <a:ext uri="{FF2B5EF4-FFF2-40B4-BE49-F238E27FC236}">
              <a16:creationId xmlns:a16="http://schemas.microsoft.com/office/drawing/2014/main" id="{E89BE3E9-DEDD-4863-8939-070893583B1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4" name="TextBox 2363">
          <a:extLst>
            <a:ext uri="{FF2B5EF4-FFF2-40B4-BE49-F238E27FC236}">
              <a16:creationId xmlns:a16="http://schemas.microsoft.com/office/drawing/2014/main" id="{57208D4A-AA85-47C9-9E2C-97604299A1C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5" name="TextBox 1">
          <a:extLst>
            <a:ext uri="{FF2B5EF4-FFF2-40B4-BE49-F238E27FC236}">
              <a16:creationId xmlns:a16="http://schemas.microsoft.com/office/drawing/2014/main" id="{12BC6566-D920-4E4F-B334-D03372AC484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6" name="TextBox 1">
          <a:extLst>
            <a:ext uri="{FF2B5EF4-FFF2-40B4-BE49-F238E27FC236}">
              <a16:creationId xmlns:a16="http://schemas.microsoft.com/office/drawing/2014/main" id="{4CF89392-71E6-4AF3-B840-CF1766CD2FD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7" name="TextBox 2366">
          <a:extLst>
            <a:ext uri="{FF2B5EF4-FFF2-40B4-BE49-F238E27FC236}">
              <a16:creationId xmlns:a16="http://schemas.microsoft.com/office/drawing/2014/main" id="{E6EF60FE-9D07-4E3E-8850-F6C28101B07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8" name="TextBox 2367">
          <a:extLst>
            <a:ext uri="{FF2B5EF4-FFF2-40B4-BE49-F238E27FC236}">
              <a16:creationId xmlns:a16="http://schemas.microsoft.com/office/drawing/2014/main" id="{4E8854B3-D335-41FF-892B-F72234155CF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9" name="TextBox 2368">
          <a:extLst>
            <a:ext uri="{FF2B5EF4-FFF2-40B4-BE49-F238E27FC236}">
              <a16:creationId xmlns:a16="http://schemas.microsoft.com/office/drawing/2014/main" id="{A608F500-0FC0-465F-BEDA-BF1A65034C3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0" name="TextBox 1">
          <a:extLst>
            <a:ext uri="{FF2B5EF4-FFF2-40B4-BE49-F238E27FC236}">
              <a16:creationId xmlns:a16="http://schemas.microsoft.com/office/drawing/2014/main" id="{E79766EF-8A6E-4DF9-AD3A-F8356DAFF0F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1" name="TextBox 1">
          <a:extLst>
            <a:ext uri="{FF2B5EF4-FFF2-40B4-BE49-F238E27FC236}">
              <a16:creationId xmlns:a16="http://schemas.microsoft.com/office/drawing/2014/main" id="{480AC3AC-4109-4F65-A0F1-63EB91ABCE4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2" name="TextBox 2371">
          <a:extLst>
            <a:ext uri="{FF2B5EF4-FFF2-40B4-BE49-F238E27FC236}">
              <a16:creationId xmlns:a16="http://schemas.microsoft.com/office/drawing/2014/main" id="{2D43001E-429F-4772-938C-B22BAF8C330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3" name="TextBox 2372">
          <a:extLst>
            <a:ext uri="{FF2B5EF4-FFF2-40B4-BE49-F238E27FC236}">
              <a16:creationId xmlns:a16="http://schemas.microsoft.com/office/drawing/2014/main" id="{BFDD9813-DAF5-4895-8E8D-68B244FE005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4" name="TextBox 1">
          <a:extLst>
            <a:ext uri="{FF2B5EF4-FFF2-40B4-BE49-F238E27FC236}">
              <a16:creationId xmlns:a16="http://schemas.microsoft.com/office/drawing/2014/main" id="{D45E5C58-4664-4446-A56F-DCC25DB90DE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5" name="TextBox 1">
          <a:extLst>
            <a:ext uri="{FF2B5EF4-FFF2-40B4-BE49-F238E27FC236}">
              <a16:creationId xmlns:a16="http://schemas.microsoft.com/office/drawing/2014/main" id="{CB5DF83C-80B8-41DB-BF41-004BDFAAA82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6" name="TextBox 2375">
          <a:extLst>
            <a:ext uri="{FF2B5EF4-FFF2-40B4-BE49-F238E27FC236}">
              <a16:creationId xmlns:a16="http://schemas.microsoft.com/office/drawing/2014/main" id="{4F86118D-12AA-47E4-909B-70ACA32A9D8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7" name="TextBox 2376">
          <a:extLst>
            <a:ext uri="{FF2B5EF4-FFF2-40B4-BE49-F238E27FC236}">
              <a16:creationId xmlns:a16="http://schemas.microsoft.com/office/drawing/2014/main" id="{BB40BFBB-F2B7-45C6-8637-A9B652E1AA8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8" name="TextBox 1">
          <a:extLst>
            <a:ext uri="{FF2B5EF4-FFF2-40B4-BE49-F238E27FC236}">
              <a16:creationId xmlns:a16="http://schemas.microsoft.com/office/drawing/2014/main" id="{74A55FA9-8AFB-4800-A625-93EC6409D47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9" name="TextBox 1">
          <a:extLst>
            <a:ext uri="{FF2B5EF4-FFF2-40B4-BE49-F238E27FC236}">
              <a16:creationId xmlns:a16="http://schemas.microsoft.com/office/drawing/2014/main" id="{9882EBAA-B34C-42C2-A9D7-2A70FF1585B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0" name="TextBox 2379">
          <a:extLst>
            <a:ext uri="{FF2B5EF4-FFF2-40B4-BE49-F238E27FC236}">
              <a16:creationId xmlns:a16="http://schemas.microsoft.com/office/drawing/2014/main" id="{00DE559C-19CF-4F41-8A26-766C9AE7123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1" name="TextBox 2380">
          <a:extLst>
            <a:ext uri="{FF2B5EF4-FFF2-40B4-BE49-F238E27FC236}">
              <a16:creationId xmlns:a16="http://schemas.microsoft.com/office/drawing/2014/main" id="{D36F5553-DC09-481E-9BA0-47596B633FC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2" name="TextBox 1">
          <a:extLst>
            <a:ext uri="{FF2B5EF4-FFF2-40B4-BE49-F238E27FC236}">
              <a16:creationId xmlns:a16="http://schemas.microsoft.com/office/drawing/2014/main" id="{43D3FE8A-16F9-4931-AC4B-FC352EB78C7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3" name="TextBox 1">
          <a:extLst>
            <a:ext uri="{FF2B5EF4-FFF2-40B4-BE49-F238E27FC236}">
              <a16:creationId xmlns:a16="http://schemas.microsoft.com/office/drawing/2014/main" id="{9E0AEF83-4171-4D50-86D5-B0B04726E60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4" name="TextBox 2383">
          <a:extLst>
            <a:ext uri="{FF2B5EF4-FFF2-40B4-BE49-F238E27FC236}">
              <a16:creationId xmlns:a16="http://schemas.microsoft.com/office/drawing/2014/main" id="{6A3B7079-787C-403F-BBBD-DB6E3597A0E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5" name="TextBox 2384">
          <a:extLst>
            <a:ext uri="{FF2B5EF4-FFF2-40B4-BE49-F238E27FC236}">
              <a16:creationId xmlns:a16="http://schemas.microsoft.com/office/drawing/2014/main" id="{3DC01B50-392C-4BEF-B07B-2E86D4CAEC0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6" name="TextBox 1">
          <a:extLst>
            <a:ext uri="{FF2B5EF4-FFF2-40B4-BE49-F238E27FC236}">
              <a16:creationId xmlns:a16="http://schemas.microsoft.com/office/drawing/2014/main" id="{5C809F5D-1BA2-4C3B-84EA-3A4849A6630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7" name="TextBox 1">
          <a:extLst>
            <a:ext uri="{FF2B5EF4-FFF2-40B4-BE49-F238E27FC236}">
              <a16:creationId xmlns:a16="http://schemas.microsoft.com/office/drawing/2014/main" id="{85B892FB-E2D4-4024-973A-D73268A8E3F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8" name="TextBox 2387">
          <a:extLst>
            <a:ext uri="{FF2B5EF4-FFF2-40B4-BE49-F238E27FC236}">
              <a16:creationId xmlns:a16="http://schemas.microsoft.com/office/drawing/2014/main" id="{C570E5DE-1FE7-4083-8B0A-2B1C2E30731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9" name="TextBox 2388">
          <a:extLst>
            <a:ext uri="{FF2B5EF4-FFF2-40B4-BE49-F238E27FC236}">
              <a16:creationId xmlns:a16="http://schemas.microsoft.com/office/drawing/2014/main" id="{1419C291-EE61-41EE-B41A-470C7C18806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0" name="TextBox 1">
          <a:extLst>
            <a:ext uri="{FF2B5EF4-FFF2-40B4-BE49-F238E27FC236}">
              <a16:creationId xmlns:a16="http://schemas.microsoft.com/office/drawing/2014/main" id="{5B0A1A4A-F53E-4917-A270-905C061614A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1" name="TextBox 1">
          <a:extLst>
            <a:ext uri="{FF2B5EF4-FFF2-40B4-BE49-F238E27FC236}">
              <a16:creationId xmlns:a16="http://schemas.microsoft.com/office/drawing/2014/main" id="{0EC6E731-E52C-455D-AABB-4C9095D0314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2" name="TextBox 2391">
          <a:extLst>
            <a:ext uri="{FF2B5EF4-FFF2-40B4-BE49-F238E27FC236}">
              <a16:creationId xmlns:a16="http://schemas.microsoft.com/office/drawing/2014/main" id="{9085219E-095A-4DEE-9DF2-4429B02C525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3" name="TextBox 2392">
          <a:extLst>
            <a:ext uri="{FF2B5EF4-FFF2-40B4-BE49-F238E27FC236}">
              <a16:creationId xmlns:a16="http://schemas.microsoft.com/office/drawing/2014/main" id="{A9A5F3C7-50E7-4320-96AD-ABEE32B429D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4" name="TextBox 1">
          <a:extLst>
            <a:ext uri="{FF2B5EF4-FFF2-40B4-BE49-F238E27FC236}">
              <a16:creationId xmlns:a16="http://schemas.microsoft.com/office/drawing/2014/main" id="{DC2A9D55-B4BD-4A86-ADDF-A65F523B283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5" name="TextBox 1">
          <a:extLst>
            <a:ext uri="{FF2B5EF4-FFF2-40B4-BE49-F238E27FC236}">
              <a16:creationId xmlns:a16="http://schemas.microsoft.com/office/drawing/2014/main" id="{9C3E5527-D4CB-44C6-9655-5D62CCB8628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6" name="TextBox 2395">
          <a:extLst>
            <a:ext uri="{FF2B5EF4-FFF2-40B4-BE49-F238E27FC236}">
              <a16:creationId xmlns:a16="http://schemas.microsoft.com/office/drawing/2014/main" id="{81152958-B90B-4E5D-9B0D-1641C4B95DB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7" name="TextBox 2396">
          <a:extLst>
            <a:ext uri="{FF2B5EF4-FFF2-40B4-BE49-F238E27FC236}">
              <a16:creationId xmlns:a16="http://schemas.microsoft.com/office/drawing/2014/main" id="{67E220A9-C0E1-4F60-87CF-123BE680B9B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8" name="TextBox 1">
          <a:extLst>
            <a:ext uri="{FF2B5EF4-FFF2-40B4-BE49-F238E27FC236}">
              <a16:creationId xmlns:a16="http://schemas.microsoft.com/office/drawing/2014/main" id="{6ED8F7BF-A0E9-4383-B0B7-05CFBDA74A8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9" name="TextBox 1">
          <a:extLst>
            <a:ext uri="{FF2B5EF4-FFF2-40B4-BE49-F238E27FC236}">
              <a16:creationId xmlns:a16="http://schemas.microsoft.com/office/drawing/2014/main" id="{98F890CF-D4E6-4EB5-99F1-A894585A99B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0" name="TextBox 2399">
          <a:extLst>
            <a:ext uri="{FF2B5EF4-FFF2-40B4-BE49-F238E27FC236}">
              <a16:creationId xmlns:a16="http://schemas.microsoft.com/office/drawing/2014/main" id="{AA57B064-B1D1-44B3-B372-73379BF7E32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1" name="TextBox 2400">
          <a:extLst>
            <a:ext uri="{FF2B5EF4-FFF2-40B4-BE49-F238E27FC236}">
              <a16:creationId xmlns:a16="http://schemas.microsoft.com/office/drawing/2014/main" id="{EE0D5F4A-44AD-49CB-A9DD-9C7F7B7CDD2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2" name="TextBox 1">
          <a:extLst>
            <a:ext uri="{FF2B5EF4-FFF2-40B4-BE49-F238E27FC236}">
              <a16:creationId xmlns:a16="http://schemas.microsoft.com/office/drawing/2014/main" id="{31A04433-E4FE-407E-8342-35AAE19F2B5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3" name="TextBox 1">
          <a:extLst>
            <a:ext uri="{FF2B5EF4-FFF2-40B4-BE49-F238E27FC236}">
              <a16:creationId xmlns:a16="http://schemas.microsoft.com/office/drawing/2014/main" id="{B8069432-7B45-47CB-9B0C-50415D9BAF9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4" name="TextBox 2403">
          <a:extLst>
            <a:ext uri="{FF2B5EF4-FFF2-40B4-BE49-F238E27FC236}">
              <a16:creationId xmlns:a16="http://schemas.microsoft.com/office/drawing/2014/main" id="{DEDF0F5C-D46A-4F5E-B68A-7938FDCBCBE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5" name="TextBox 1">
          <a:extLst>
            <a:ext uri="{FF2B5EF4-FFF2-40B4-BE49-F238E27FC236}">
              <a16:creationId xmlns:a16="http://schemas.microsoft.com/office/drawing/2014/main" id="{21B6C453-83AE-4FFE-95F5-DDC8F8FF8A7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6" name="TextBox 1">
          <a:extLst>
            <a:ext uri="{FF2B5EF4-FFF2-40B4-BE49-F238E27FC236}">
              <a16:creationId xmlns:a16="http://schemas.microsoft.com/office/drawing/2014/main" id="{CC858035-1931-41F3-9716-A2009D4AD31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7" name="TextBox 2406">
          <a:extLst>
            <a:ext uri="{FF2B5EF4-FFF2-40B4-BE49-F238E27FC236}">
              <a16:creationId xmlns:a16="http://schemas.microsoft.com/office/drawing/2014/main" id="{EDE7EF37-22D1-400B-9F54-903780ADC3A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8" name="TextBox 1">
          <a:extLst>
            <a:ext uri="{FF2B5EF4-FFF2-40B4-BE49-F238E27FC236}">
              <a16:creationId xmlns:a16="http://schemas.microsoft.com/office/drawing/2014/main" id="{18AC4681-8291-4C21-951B-B88FD14321F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9" name="TextBox 2408">
          <a:extLst>
            <a:ext uri="{FF2B5EF4-FFF2-40B4-BE49-F238E27FC236}">
              <a16:creationId xmlns:a16="http://schemas.microsoft.com/office/drawing/2014/main" id="{0BDC2F68-C778-4E86-A43E-29BB7519A2D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0" name="TextBox 1">
          <a:extLst>
            <a:ext uri="{FF2B5EF4-FFF2-40B4-BE49-F238E27FC236}">
              <a16:creationId xmlns:a16="http://schemas.microsoft.com/office/drawing/2014/main" id="{72BBC7E2-0AF5-4DDC-8C22-AAF07CB74B8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1" name="TextBox 1">
          <a:extLst>
            <a:ext uri="{FF2B5EF4-FFF2-40B4-BE49-F238E27FC236}">
              <a16:creationId xmlns:a16="http://schemas.microsoft.com/office/drawing/2014/main" id="{38AF4C14-0AB1-4B87-9E55-4850F817666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2" name="TextBox 2411">
          <a:extLst>
            <a:ext uri="{FF2B5EF4-FFF2-40B4-BE49-F238E27FC236}">
              <a16:creationId xmlns:a16="http://schemas.microsoft.com/office/drawing/2014/main" id="{36AAC932-7F25-4854-89DD-D590611A88A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3" name="TextBox 2412">
          <a:extLst>
            <a:ext uri="{FF2B5EF4-FFF2-40B4-BE49-F238E27FC236}">
              <a16:creationId xmlns:a16="http://schemas.microsoft.com/office/drawing/2014/main" id="{DFFF320E-5018-4841-A64C-A61D75DF380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4" name="TextBox 1">
          <a:extLst>
            <a:ext uri="{FF2B5EF4-FFF2-40B4-BE49-F238E27FC236}">
              <a16:creationId xmlns:a16="http://schemas.microsoft.com/office/drawing/2014/main" id="{5F3320A2-8357-47F4-A5A3-EAEA1323F20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5" name="TextBox 1">
          <a:extLst>
            <a:ext uri="{FF2B5EF4-FFF2-40B4-BE49-F238E27FC236}">
              <a16:creationId xmlns:a16="http://schemas.microsoft.com/office/drawing/2014/main" id="{8ED725C6-AEE2-412C-B326-3C0D6A873DE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6" name="TextBox 2415">
          <a:extLst>
            <a:ext uri="{FF2B5EF4-FFF2-40B4-BE49-F238E27FC236}">
              <a16:creationId xmlns:a16="http://schemas.microsoft.com/office/drawing/2014/main" id="{575C4A76-4D51-4061-B325-64E7E8FCB8F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7" name="TextBox 2416">
          <a:extLst>
            <a:ext uri="{FF2B5EF4-FFF2-40B4-BE49-F238E27FC236}">
              <a16:creationId xmlns:a16="http://schemas.microsoft.com/office/drawing/2014/main" id="{317AA3FA-500B-40C9-AB2B-2F2EF3B564B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8" name="TextBox 2417">
          <a:extLst>
            <a:ext uri="{FF2B5EF4-FFF2-40B4-BE49-F238E27FC236}">
              <a16:creationId xmlns:a16="http://schemas.microsoft.com/office/drawing/2014/main" id="{A54DCED0-DCB7-46B2-8058-19EA79D43B6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9" name="TextBox 1">
          <a:extLst>
            <a:ext uri="{FF2B5EF4-FFF2-40B4-BE49-F238E27FC236}">
              <a16:creationId xmlns:a16="http://schemas.microsoft.com/office/drawing/2014/main" id="{6946A067-8D02-4F32-83AE-4E0810DAD3F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0" name="TextBox 1">
          <a:extLst>
            <a:ext uri="{FF2B5EF4-FFF2-40B4-BE49-F238E27FC236}">
              <a16:creationId xmlns:a16="http://schemas.microsoft.com/office/drawing/2014/main" id="{B0201FF8-0C96-4BEE-B258-A30ADFE7A88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1" name="TextBox 2420">
          <a:extLst>
            <a:ext uri="{FF2B5EF4-FFF2-40B4-BE49-F238E27FC236}">
              <a16:creationId xmlns:a16="http://schemas.microsoft.com/office/drawing/2014/main" id="{50E7AC67-AD55-47EA-96F5-2BCDD41A140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2" name="TextBox 2421">
          <a:extLst>
            <a:ext uri="{FF2B5EF4-FFF2-40B4-BE49-F238E27FC236}">
              <a16:creationId xmlns:a16="http://schemas.microsoft.com/office/drawing/2014/main" id="{03E15E30-C027-46FE-AAE4-5E4BC7FAE0B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3" name="TextBox 1">
          <a:extLst>
            <a:ext uri="{FF2B5EF4-FFF2-40B4-BE49-F238E27FC236}">
              <a16:creationId xmlns:a16="http://schemas.microsoft.com/office/drawing/2014/main" id="{20395D92-E14A-4999-8B2A-FA1778205D4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4" name="TextBox 1">
          <a:extLst>
            <a:ext uri="{FF2B5EF4-FFF2-40B4-BE49-F238E27FC236}">
              <a16:creationId xmlns:a16="http://schemas.microsoft.com/office/drawing/2014/main" id="{350F6EF4-FBA0-4627-B9B2-45E035171E8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5" name="TextBox 2424">
          <a:extLst>
            <a:ext uri="{FF2B5EF4-FFF2-40B4-BE49-F238E27FC236}">
              <a16:creationId xmlns:a16="http://schemas.microsoft.com/office/drawing/2014/main" id="{43639EA7-809D-46E6-940E-9436B0CB182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6" name="TextBox 2425">
          <a:extLst>
            <a:ext uri="{FF2B5EF4-FFF2-40B4-BE49-F238E27FC236}">
              <a16:creationId xmlns:a16="http://schemas.microsoft.com/office/drawing/2014/main" id="{E85F79D6-ACE4-4D85-B2F2-2DC8564CEC7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7" name="TextBox 1">
          <a:extLst>
            <a:ext uri="{FF2B5EF4-FFF2-40B4-BE49-F238E27FC236}">
              <a16:creationId xmlns:a16="http://schemas.microsoft.com/office/drawing/2014/main" id="{B529E9ED-586D-4ADD-972E-C2559D169A2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8" name="TextBox 1">
          <a:extLst>
            <a:ext uri="{FF2B5EF4-FFF2-40B4-BE49-F238E27FC236}">
              <a16:creationId xmlns:a16="http://schemas.microsoft.com/office/drawing/2014/main" id="{F783E53F-2715-45A8-9EBB-9CE500DA85F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9" name="TextBox 2428">
          <a:extLst>
            <a:ext uri="{FF2B5EF4-FFF2-40B4-BE49-F238E27FC236}">
              <a16:creationId xmlns:a16="http://schemas.microsoft.com/office/drawing/2014/main" id="{586C9902-3E12-47CC-80A2-8330C622646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0" name="TextBox 2429">
          <a:extLst>
            <a:ext uri="{FF2B5EF4-FFF2-40B4-BE49-F238E27FC236}">
              <a16:creationId xmlns:a16="http://schemas.microsoft.com/office/drawing/2014/main" id="{0356B234-2F40-48E0-BDA7-939F81E504A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1" name="TextBox 1">
          <a:extLst>
            <a:ext uri="{FF2B5EF4-FFF2-40B4-BE49-F238E27FC236}">
              <a16:creationId xmlns:a16="http://schemas.microsoft.com/office/drawing/2014/main" id="{2C93AD04-0A6B-4D78-9E65-3509521D840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2" name="TextBox 1">
          <a:extLst>
            <a:ext uri="{FF2B5EF4-FFF2-40B4-BE49-F238E27FC236}">
              <a16:creationId xmlns:a16="http://schemas.microsoft.com/office/drawing/2014/main" id="{0B1D5A99-BD1D-49A9-B5B6-261447F8C3C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3" name="TextBox 2432">
          <a:extLst>
            <a:ext uri="{FF2B5EF4-FFF2-40B4-BE49-F238E27FC236}">
              <a16:creationId xmlns:a16="http://schemas.microsoft.com/office/drawing/2014/main" id="{D3EE4DE5-C312-4F86-9A3C-8E8A12909F9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4" name="TextBox 2433">
          <a:extLst>
            <a:ext uri="{FF2B5EF4-FFF2-40B4-BE49-F238E27FC236}">
              <a16:creationId xmlns:a16="http://schemas.microsoft.com/office/drawing/2014/main" id="{FA56CFC4-9ACB-4C92-9780-AEAC5375160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5" name="TextBox 1">
          <a:extLst>
            <a:ext uri="{FF2B5EF4-FFF2-40B4-BE49-F238E27FC236}">
              <a16:creationId xmlns:a16="http://schemas.microsoft.com/office/drawing/2014/main" id="{8008CC67-D600-48A5-95F6-8771B9B6D78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6" name="TextBox 1">
          <a:extLst>
            <a:ext uri="{FF2B5EF4-FFF2-40B4-BE49-F238E27FC236}">
              <a16:creationId xmlns:a16="http://schemas.microsoft.com/office/drawing/2014/main" id="{452A237A-E8EA-4B07-A17B-94917D1DA84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7" name="TextBox 2436">
          <a:extLst>
            <a:ext uri="{FF2B5EF4-FFF2-40B4-BE49-F238E27FC236}">
              <a16:creationId xmlns:a16="http://schemas.microsoft.com/office/drawing/2014/main" id="{B376600D-7392-49DB-B3A6-C1CCC633B0A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8" name="TextBox 2437">
          <a:extLst>
            <a:ext uri="{FF2B5EF4-FFF2-40B4-BE49-F238E27FC236}">
              <a16:creationId xmlns:a16="http://schemas.microsoft.com/office/drawing/2014/main" id="{7F38BE0E-B4E7-43CB-BAA9-A6A00B299F8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9" name="TextBox 1">
          <a:extLst>
            <a:ext uri="{FF2B5EF4-FFF2-40B4-BE49-F238E27FC236}">
              <a16:creationId xmlns:a16="http://schemas.microsoft.com/office/drawing/2014/main" id="{5B0DAB21-2A58-488C-B254-F7CF91C5F27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0" name="TextBox 1">
          <a:extLst>
            <a:ext uri="{FF2B5EF4-FFF2-40B4-BE49-F238E27FC236}">
              <a16:creationId xmlns:a16="http://schemas.microsoft.com/office/drawing/2014/main" id="{C4289480-7A28-42E6-B1C7-B5F008FFE67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1" name="TextBox 2440">
          <a:extLst>
            <a:ext uri="{FF2B5EF4-FFF2-40B4-BE49-F238E27FC236}">
              <a16:creationId xmlns:a16="http://schemas.microsoft.com/office/drawing/2014/main" id="{C5DB78A4-EFC9-4D09-86C6-F07F47BC7E6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2" name="TextBox 2441">
          <a:extLst>
            <a:ext uri="{FF2B5EF4-FFF2-40B4-BE49-F238E27FC236}">
              <a16:creationId xmlns:a16="http://schemas.microsoft.com/office/drawing/2014/main" id="{EA6BD461-8EA9-41E8-B401-5296E333F3A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3" name="TextBox 1">
          <a:extLst>
            <a:ext uri="{FF2B5EF4-FFF2-40B4-BE49-F238E27FC236}">
              <a16:creationId xmlns:a16="http://schemas.microsoft.com/office/drawing/2014/main" id="{FE0CE7A4-6A7E-4B0F-A62A-7F27AA8D69D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4" name="TextBox 1">
          <a:extLst>
            <a:ext uri="{FF2B5EF4-FFF2-40B4-BE49-F238E27FC236}">
              <a16:creationId xmlns:a16="http://schemas.microsoft.com/office/drawing/2014/main" id="{1187A163-43E2-446F-A580-8ECEEE54CA9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5" name="TextBox 2444">
          <a:extLst>
            <a:ext uri="{FF2B5EF4-FFF2-40B4-BE49-F238E27FC236}">
              <a16:creationId xmlns:a16="http://schemas.microsoft.com/office/drawing/2014/main" id="{006FED9C-2506-44BD-94D2-B2260BA4E72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6" name="TextBox 2445">
          <a:extLst>
            <a:ext uri="{FF2B5EF4-FFF2-40B4-BE49-F238E27FC236}">
              <a16:creationId xmlns:a16="http://schemas.microsoft.com/office/drawing/2014/main" id="{D487F448-B90F-489C-B04D-A1F40227CE9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7" name="TextBox 1">
          <a:extLst>
            <a:ext uri="{FF2B5EF4-FFF2-40B4-BE49-F238E27FC236}">
              <a16:creationId xmlns:a16="http://schemas.microsoft.com/office/drawing/2014/main" id="{A9FC09DA-082E-4510-B523-43816C4895B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8" name="TextBox 1">
          <a:extLst>
            <a:ext uri="{FF2B5EF4-FFF2-40B4-BE49-F238E27FC236}">
              <a16:creationId xmlns:a16="http://schemas.microsoft.com/office/drawing/2014/main" id="{76CE1115-DD1C-4C00-A120-D2DD0E5A7AB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9" name="TextBox 2448">
          <a:extLst>
            <a:ext uri="{FF2B5EF4-FFF2-40B4-BE49-F238E27FC236}">
              <a16:creationId xmlns:a16="http://schemas.microsoft.com/office/drawing/2014/main" id="{C2E4FB3F-2BE0-4521-A7C7-8C0243203A5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0" name="TextBox 2449">
          <a:extLst>
            <a:ext uri="{FF2B5EF4-FFF2-40B4-BE49-F238E27FC236}">
              <a16:creationId xmlns:a16="http://schemas.microsoft.com/office/drawing/2014/main" id="{E3E24194-60A9-41FA-AB20-9A0F90AB06C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1" name="TextBox 1">
          <a:extLst>
            <a:ext uri="{FF2B5EF4-FFF2-40B4-BE49-F238E27FC236}">
              <a16:creationId xmlns:a16="http://schemas.microsoft.com/office/drawing/2014/main" id="{4620721A-5E07-47B6-8820-4AB3F6C7C93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2" name="TextBox 1">
          <a:extLst>
            <a:ext uri="{FF2B5EF4-FFF2-40B4-BE49-F238E27FC236}">
              <a16:creationId xmlns:a16="http://schemas.microsoft.com/office/drawing/2014/main" id="{38F0AB19-BE98-49C1-94FA-5C82371583B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3" name="TextBox 2452">
          <a:extLst>
            <a:ext uri="{FF2B5EF4-FFF2-40B4-BE49-F238E27FC236}">
              <a16:creationId xmlns:a16="http://schemas.microsoft.com/office/drawing/2014/main" id="{ECA0C383-6F0F-4310-A5EB-8A62EF5DA87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4" name="TextBox 2453">
          <a:extLst>
            <a:ext uri="{FF2B5EF4-FFF2-40B4-BE49-F238E27FC236}">
              <a16:creationId xmlns:a16="http://schemas.microsoft.com/office/drawing/2014/main" id="{01EFDF98-8D80-462E-AC02-0074986E629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5" name="TextBox 2454">
          <a:extLst>
            <a:ext uri="{FF2B5EF4-FFF2-40B4-BE49-F238E27FC236}">
              <a16:creationId xmlns:a16="http://schemas.microsoft.com/office/drawing/2014/main" id="{D666622B-E3C1-44AA-91D2-E6E0971AC4D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6" name="TextBox 1">
          <a:extLst>
            <a:ext uri="{FF2B5EF4-FFF2-40B4-BE49-F238E27FC236}">
              <a16:creationId xmlns:a16="http://schemas.microsoft.com/office/drawing/2014/main" id="{316DE95A-0919-45E1-BE48-A6B5B389F41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7" name="TextBox 1">
          <a:extLst>
            <a:ext uri="{FF2B5EF4-FFF2-40B4-BE49-F238E27FC236}">
              <a16:creationId xmlns:a16="http://schemas.microsoft.com/office/drawing/2014/main" id="{C27A08A6-6D2E-4C17-95C3-583DAF7660D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8" name="TextBox 2457">
          <a:extLst>
            <a:ext uri="{FF2B5EF4-FFF2-40B4-BE49-F238E27FC236}">
              <a16:creationId xmlns:a16="http://schemas.microsoft.com/office/drawing/2014/main" id="{7AC990EE-1C33-4DCE-9CF9-9A0976A1D33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9" name="TextBox 2458">
          <a:extLst>
            <a:ext uri="{FF2B5EF4-FFF2-40B4-BE49-F238E27FC236}">
              <a16:creationId xmlns:a16="http://schemas.microsoft.com/office/drawing/2014/main" id="{0F05B0D2-1083-4163-9295-A56E742A16D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0" name="TextBox 1">
          <a:extLst>
            <a:ext uri="{FF2B5EF4-FFF2-40B4-BE49-F238E27FC236}">
              <a16:creationId xmlns:a16="http://schemas.microsoft.com/office/drawing/2014/main" id="{B1E77279-4E6F-4E4A-8057-4E65719CF5C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1" name="TextBox 1">
          <a:extLst>
            <a:ext uri="{FF2B5EF4-FFF2-40B4-BE49-F238E27FC236}">
              <a16:creationId xmlns:a16="http://schemas.microsoft.com/office/drawing/2014/main" id="{1A6FFC08-74BC-4835-9674-2EA26187167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2" name="TextBox 2461">
          <a:extLst>
            <a:ext uri="{FF2B5EF4-FFF2-40B4-BE49-F238E27FC236}">
              <a16:creationId xmlns:a16="http://schemas.microsoft.com/office/drawing/2014/main" id="{B1A92F66-78CD-4898-9269-6FF6C08B5F0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3" name="TextBox 2462">
          <a:extLst>
            <a:ext uri="{FF2B5EF4-FFF2-40B4-BE49-F238E27FC236}">
              <a16:creationId xmlns:a16="http://schemas.microsoft.com/office/drawing/2014/main" id="{1D59FC12-FE71-4259-ADB8-60857F55EB1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4" name="TextBox 1">
          <a:extLst>
            <a:ext uri="{FF2B5EF4-FFF2-40B4-BE49-F238E27FC236}">
              <a16:creationId xmlns:a16="http://schemas.microsoft.com/office/drawing/2014/main" id="{3716DF6B-A4E5-447E-8BDA-1B20B42039C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5" name="TextBox 1">
          <a:extLst>
            <a:ext uri="{FF2B5EF4-FFF2-40B4-BE49-F238E27FC236}">
              <a16:creationId xmlns:a16="http://schemas.microsoft.com/office/drawing/2014/main" id="{37780741-6E87-40A2-B54F-3E56E51AF3E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6" name="TextBox 2465">
          <a:extLst>
            <a:ext uri="{FF2B5EF4-FFF2-40B4-BE49-F238E27FC236}">
              <a16:creationId xmlns:a16="http://schemas.microsoft.com/office/drawing/2014/main" id="{81D95A4E-1ACC-4E41-86AE-38BDD1C81B4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7" name="TextBox 2466">
          <a:extLst>
            <a:ext uri="{FF2B5EF4-FFF2-40B4-BE49-F238E27FC236}">
              <a16:creationId xmlns:a16="http://schemas.microsoft.com/office/drawing/2014/main" id="{9998B6D2-9E64-423D-B655-BFDD83EC5E3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8" name="TextBox 1">
          <a:extLst>
            <a:ext uri="{FF2B5EF4-FFF2-40B4-BE49-F238E27FC236}">
              <a16:creationId xmlns:a16="http://schemas.microsoft.com/office/drawing/2014/main" id="{0E630368-792C-4291-9B7F-D68FFCD0CDB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9" name="TextBox 1">
          <a:extLst>
            <a:ext uri="{FF2B5EF4-FFF2-40B4-BE49-F238E27FC236}">
              <a16:creationId xmlns:a16="http://schemas.microsoft.com/office/drawing/2014/main" id="{0EBB8013-73EE-4FB7-B3FF-E38050A0ADF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0" name="TextBox 2469">
          <a:extLst>
            <a:ext uri="{FF2B5EF4-FFF2-40B4-BE49-F238E27FC236}">
              <a16:creationId xmlns:a16="http://schemas.microsoft.com/office/drawing/2014/main" id="{59D768E6-7EE8-413E-989C-CB32C1A434A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1" name="TextBox 2470">
          <a:extLst>
            <a:ext uri="{FF2B5EF4-FFF2-40B4-BE49-F238E27FC236}">
              <a16:creationId xmlns:a16="http://schemas.microsoft.com/office/drawing/2014/main" id="{AEC11131-41DB-4000-B06F-D1F6D2B0B37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2" name="TextBox 1">
          <a:extLst>
            <a:ext uri="{FF2B5EF4-FFF2-40B4-BE49-F238E27FC236}">
              <a16:creationId xmlns:a16="http://schemas.microsoft.com/office/drawing/2014/main" id="{ED1D7AC7-E173-4B92-B2D2-923CEC8BDEC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3" name="TextBox 1">
          <a:extLst>
            <a:ext uri="{FF2B5EF4-FFF2-40B4-BE49-F238E27FC236}">
              <a16:creationId xmlns:a16="http://schemas.microsoft.com/office/drawing/2014/main" id="{1A45EAD2-B866-4FEC-89D0-A4ABF15EF88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4" name="TextBox 2473">
          <a:extLst>
            <a:ext uri="{FF2B5EF4-FFF2-40B4-BE49-F238E27FC236}">
              <a16:creationId xmlns:a16="http://schemas.microsoft.com/office/drawing/2014/main" id="{68EE8D99-FD7C-4965-8489-F1871BEA652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5" name="TextBox 2474">
          <a:extLst>
            <a:ext uri="{FF2B5EF4-FFF2-40B4-BE49-F238E27FC236}">
              <a16:creationId xmlns:a16="http://schemas.microsoft.com/office/drawing/2014/main" id="{DCCC2D2A-D1EA-43CA-938C-6DD7DA655E1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6" name="TextBox 1">
          <a:extLst>
            <a:ext uri="{FF2B5EF4-FFF2-40B4-BE49-F238E27FC236}">
              <a16:creationId xmlns:a16="http://schemas.microsoft.com/office/drawing/2014/main" id="{C4028091-28E5-4ACC-816B-E0C690215EA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7" name="TextBox 1">
          <a:extLst>
            <a:ext uri="{FF2B5EF4-FFF2-40B4-BE49-F238E27FC236}">
              <a16:creationId xmlns:a16="http://schemas.microsoft.com/office/drawing/2014/main" id="{F01C48C1-07E8-465A-8EA5-C3ECC09E0DA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8" name="TextBox 2477">
          <a:extLst>
            <a:ext uri="{FF2B5EF4-FFF2-40B4-BE49-F238E27FC236}">
              <a16:creationId xmlns:a16="http://schemas.microsoft.com/office/drawing/2014/main" id="{E40552CA-8565-4186-86DE-2A146777E19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9" name="TextBox 2478">
          <a:extLst>
            <a:ext uri="{FF2B5EF4-FFF2-40B4-BE49-F238E27FC236}">
              <a16:creationId xmlns:a16="http://schemas.microsoft.com/office/drawing/2014/main" id="{9C10D9D5-2AF0-49A6-8080-20996757A88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0" name="TextBox 1">
          <a:extLst>
            <a:ext uri="{FF2B5EF4-FFF2-40B4-BE49-F238E27FC236}">
              <a16:creationId xmlns:a16="http://schemas.microsoft.com/office/drawing/2014/main" id="{78E9356A-A50B-4A8A-8C81-2C3158E7942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1" name="TextBox 1">
          <a:extLst>
            <a:ext uri="{FF2B5EF4-FFF2-40B4-BE49-F238E27FC236}">
              <a16:creationId xmlns:a16="http://schemas.microsoft.com/office/drawing/2014/main" id="{BBC17558-0F5E-4BEA-B14A-4DE4FD38FE3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2" name="TextBox 2481">
          <a:extLst>
            <a:ext uri="{FF2B5EF4-FFF2-40B4-BE49-F238E27FC236}">
              <a16:creationId xmlns:a16="http://schemas.microsoft.com/office/drawing/2014/main" id="{013EDE15-E22A-4347-8FAF-4B522FA1D0D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3" name="TextBox 2482">
          <a:extLst>
            <a:ext uri="{FF2B5EF4-FFF2-40B4-BE49-F238E27FC236}">
              <a16:creationId xmlns:a16="http://schemas.microsoft.com/office/drawing/2014/main" id="{20385056-4C71-48AE-BAC9-193F244B591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4" name="TextBox 1">
          <a:extLst>
            <a:ext uri="{FF2B5EF4-FFF2-40B4-BE49-F238E27FC236}">
              <a16:creationId xmlns:a16="http://schemas.microsoft.com/office/drawing/2014/main" id="{57F65B8A-AE67-446B-9F18-FA2A20E5A70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5" name="TextBox 1">
          <a:extLst>
            <a:ext uri="{FF2B5EF4-FFF2-40B4-BE49-F238E27FC236}">
              <a16:creationId xmlns:a16="http://schemas.microsoft.com/office/drawing/2014/main" id="{5257C0D5-1C61-4158-8BC6-98B92B2C50F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6" name="TextBox 2485">
          <a:extLst>
            <a:ext uri="{FF2B5EF4-FFF2-40B4-BE49-F238E27FC236}">
              <a16:creationId xmlns:a16="http://schemas.microsoft.com/office/drawing/2014/main" id="{AB1DBB7C-F2E7-49D7-B039-65563C88E3E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7" name="TextBox 2486">
          <a:extLst>
            <a:ext uri="{FF2B5EF4-FFF2-40B4-BE49-F238E27FC236}">
              <a16:creationId xmlns:a16="http://schemas.microsoft.com/office/drawing/2014/main" id="{53A19961-AA11-4175-888D-2EB5189F1E5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8" name="TextBox 1">
          <a:extLst>
            <a:ext uri="{FF2B5EF4-FFF2-40B4-BE49-F238E27FC236}">
              <a16:creationId xmlns:a16="http://schemas.microsoft.com/office/drawing/2014/main" id="{F1FCA039-5EA1-4A7F-B68A-1081F26210F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9" name="TextBox 1">
          <a:extLst>
            <a:ext uri="{FF2B5EF4-FFF2-40B4-BE49-F238E27FC236}">
              <a16:creationId xmlns:a16="http://schemas.microsoft.com/office/drawing/2014/main" id="{F9DBF0AC-873B-4178-84E8-2D5D110FE1F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0" name="TextBox 2489">
          <a:extLst>
            <a:ext uri="{FF2B5EF4-FFF2-40B4-BE49-F238E27FC236}">
              <a16:creationId xmlns:a16="http://schemas.microsoft.com/office/drawing/2014/main" id="{74BCB5BC-A543-46E9-8D74-A49491D0C06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1" name="TextBox 2490">
          <a:extLst>
            <a:ext uri="{FF2B5EF4-FFF2-40B4-BE49-F238E27FC236}">
              <a16:creationId xmlns:a16="http://schemas.microsoft.com/office/drawing/2014/main" id="{39CEC073-25CC-4816-BBDE-52F787FE1C5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2" name="TextBox 1">
          <a:extLst>
            <a:ext uri="{FF2B5EF4-FFF2-40B4-BE49-F238E27FC236}">
              <a16:creationId xmlns:a16="http://schemas.microsoft.com/office/drawing/2014/main" id="{CF05B3C1-DB67-44FD-AE3F-39F259BB110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3" name="TextBox 1">
          <a:extLst>
            <a:ext uri="{FF2B5EF4-FFF2-40B4-BE49-F238E27FC236}">
              <a16:creationId xmlns:a16="http://schemas.microsoft.com/office/drawing/2014/main" id="{C0487C78-A3C4-4AF5-A9BF-D900A8EF91C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4" name="TextBox 2493">
          <a:extLst>
            <a:ext uri="{FF2B5EF4-FFF2-40B4-BE49-F238E27FC236}">
              <a16:creationId xmlns:a16="http://schemas.microsoft.com/office/drawing/2014/main" id="{72E591D3-849B-49E3-934E-16AD442E365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5" name="TextBox 2494">
          <a:extLst>
            <a:ext uri="{FF2B5EF4-FFF2-40B4-BE49-F238E27FC236}">
              <a16:creationId xmlns:a16="http://schemas.microsoft.com/office/drawing/2014/main" id="{1DC1EE6E-37C6-49AA-A8EB-0FE78B36C0D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6" name="TextBox 1">
          <a:extLst>
            <a:ext uri="{FF2B5EF4-FFF2-40B4-BE49-F238E27FC236}">
              <a16:creationId xmlns:a16="http://schemas.microsoft.com/office/drawing/2014/main" id="{EBE02576-4344-4565-A880-D56E7DF4EB1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7" name="TextBox 1">
          <a:extLst>
            <a:ext uri="{FF2B5EF4-FFF2-40B4-BE49-F238E27FC236}">
              <a16:creationId xmlns:a16="http://schemas.microsoft.com/office/drawing/2014/main" id="{0DF25B4E-B33B-4F3C-98D6-61102519155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8" name="TextBox 2497">
          <a:extLst>
            <a:ext uri="{FF2B5EF4-FFF2-40B4-BE49-F238E27FC236}">
              <a16:creationId xmlns:a16="http://schemas.microsoft.com/office/drawing/2014/main" id="{5ED60301-7094-4AAD-AE65-22D1ABD98F4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9" name="TextBox 2498">
          <a:extLst>
            <a:ext uri="{FF2B5EF4-FFF2-40B4-BE49-F238E27FC236}">
              <a16:creationId xmlns:a16="http://schemas.microsoft.com/office/drawing/2014/main" id="{54DFAD1B-6B20-4CFD-A13E-32EED161EAA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0" name="TextBox 2499">
          <a:extLst>
            <a:ext uri="{FF2B5EF4-FFF2-40B4-BE49-F238E27FC236}">
              <a16:creationId xmlns:a16="http://schemas.microsoft.com/office/drawing/2014/main" id="{8A705F84-868A-4118-805A-35B5EB4E7BE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1" name="TextBox 1">
          <a:extLst>
            <a:ext uri="{FF2B5EF4-FFF2-40B4-BE49-F238E27FC236}">
              <a16:creationId xmlns:a16="http://schemas.microsoft.com/office/drawing/2014/main" id="{970A4FEE-4853-4023-9020-96CEDC41BE5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2" name="TextBox 1">
          <a:extLst>
            <a:ext uri="{FF2B5EF4-FFF2-40B4-BE49-F238E27FC236}">
              <a16:creationId xmlns:a16="http://schemas.microsoft.com/office/drawing/2014/main" id="{7F270197-502C-4CF1-B9E5-3C5CD2E5E96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3" name="TextBox 2502">
          <a:extLst>
            <a:ext uri="{FF2B5EF4-FFF2-40B4-BE49-F238E27FC236}">
              <a16:creationId xmlns:a16="http://schemas.microsoft.com/office/drawing/2014/main" id="{84A865C8-C8EE-457D-9405-0228D7022A7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4" name="TextBox 2503">
          <a:extLst>
            <a:ext uri="{FF2B5EF4-FFF2-40B4-BE49-F238E27FC236}">
              <a16:creationId xmlns:a16="http://schemas.microsoft.com/office/drawing/2014/main" id="{58B740CE-88A8-4211-9C58-5085A6D8C04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5" name="TextBox 1">
          <a:extLst>
            <a:ext uri="{FF2B5EF4-FFF2-40B4-BE49-F238E27FC236}">
              <a16:creationId xmlns:a16="http://schemas.microsoft.com/office/drawing/2014/main" id="{87759241-ED30-4137-A94D-D1DAF831C7F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6" name="TextBox 1">
          <a:extLst>
            <a:ext uri="{FF2B5EF4-FFF2-40B4-BE49-F238E27FC236}">
              <a16:creationId xmlns:a16="http://schemas.microsoft.com/office/drawing/2014/main" id="{F6AF6A49-E818-4B21-B1BE-FC05CB5D20C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7" name="TextBox 2506">
          <a:extLst>
            <a:ext uri="{FF2B5EF4-FFF2-40B4-BE49-F238E27FC236}">
              <a16:creationId xmlns:a16="http://schemas.microsoft.com/office/drawing/2014/main" id="{81E195EB-2B60-438F-BBED-93546B42B13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8" name="TextBox 2507">
          <a:extLst>
            <a:ext uri="{FF2B5EF4-FFF2-40B4-BE49-F238E27FC236}">
              <a16:creationId xmlns:a16="http://schemas.microsoft.com/office/drawing/2014/main" id="{006BA5A8-4747-4AC3-8236-8049BFD6C23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9" name="TextBox 1">
          <a:extLst>
            <a:ext uri="{FF2B5EF4-FFF2-40B4-BE49-F238E27FC236}">
              <a16:creationId xmlns:a16="http://schemas.microsoft.com/office/drawing/2014/main" id="{CC1495CC-D991-48DA-9BC7-90C97646FFD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0" name="TextBox 1">
          <a:extLst>
            <a:ext uri="{FF2B5EF4-FFF2-40B4-BE49-F238E27FC236}">
              <a16:creationId xmlns:a16="http://schemas.microsoft.com/office/drawing/2014/main" id="{318C4E93-D792-482C-A454-96AB09C741F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1" name="TextBox 2510">
          <a:extLst>
            <a:ext uri="{FF2B5EF4-FFF2-40B4-BE49-F238E27FC236}">
              <a16:creationId xmlns:a16="http://schemas.microsoft.com/office/drawing/2014/main" id="{FF73BAB6-19BA-4BFE-A73A-421B0725472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2" name="TextBox 2511">
          <a:extLst>
            <a:ext uri="{FF2B5EF4-FFF2-40B4-BE49-F238E27FC236}">
              <a16:creationId xmlns:a16="http://schemas.microsoft.com/office/drawing/2014/main" id="{2118BC4F-87FC-4566-8DF0-0CBF25875AF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3" name="TextBox 1">
          <a:extLst>
            <a:ext uri="{FF2B5EF4-FFF2-40B4-BE49-F238E27FC236}">
              <a16:creationId xmlns:a16="http://schemas.microsoft.com/office/drawing/2014/main" id="{0B93CB10-C789-4513-8BEC-3BDFAE204D3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4" name="TextBox 1">
          <a:extLst>
            <a:ext uri="{FF2B5EF4-FFF2-40B4-BE49-F238E27FC236}">
              <a16:creationId xmlns:a16="http://schemas.microsoft.com/office/drawing/2014/main" id="{BAE26350-2E83-4851-9DEC-89B01B5BAD2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5" name="TextBox 2514">
          <a:extLst>
            <a:ext uri="{FF2B5EF4-FFF2-40B4-BE49-F238E27FC236}">
              <a16:creationId xmlns:a16="http://schemas.microsoft.com/office/drawing/2014/main" id="{826355EC-6A09-4AB5-87F8-C7CCC861D55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6" name="TextBox 2515">
          <a:extLst>
            <a:ext uri="{FF2B5EF4-FFF2-40B4-BE49-F238E27FC236}">
              <a16:creationId xmlns:a16="http://schemas.microsoft.com/office/drawing/2014/main" id="{E09F03C8-9F9A-428C-814F-7EBF5D1C3AB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7" name="TextBox 1">
          <a:extLst>
            <a:ext uri="{FF2B5EF4-FFF2-40B4-BE49-F238E27FC236}">
              <a16:creationId xmlns:a16="http://schemas.microsoft.com/office/drawing/2014/main" id="{CB6C6777-2750-4814-9053-1DCE8E98634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8" name="TextBox 1">
          <a:extLst>
            <a:ext uri="{FF2B5EF4-FFF2-40B4-BE49-F238E27FC236}">
              <a16:creationId xmlns:a16="http://schemas.microsoft.com/office/drawing/2014/main" id="{6F42728F-973A-499A-988F-9BEB653DA42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9" name="TextBox 2518">
          <a:extLst>
            <a:ext uri="{FF2B5EF4-FFF2-40B4-BE49-F238E27FC236}">
              <a16:creationId xmlns:a16="http://schemas.microsoft.com/office/drawing/2014/main" id="{B3DE0B44-3B79-4B0B-8BAA-DABAB441AA9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0" name="TextBox 2519">
          <a:extLst>
            <a:ext uri="{FF2B5EF4-FFF2-40B4-BE49-F238E27FC236}">
              <a16:creationId xmlns:a16="http://schemas.microsoft.com/office/drawing/2014/main" id="{461C0A25-290D-4CC4-B886-C51321E917A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1" name="TextBox 1">
          <a:extLst>
            <a:ext uri="{FF2B5EF4-FFF2-40B4-BE49-F238E27FC236}">
              <a16:creationId xmlns:a16="http://schemas.microsoft.com/office/drawing/2014/main" id="{A4AB6B95-5768-4486-A1A6-957A96F567C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2" name="TextBox 1">
          <a:extLst>
            <a:ext uri="{FF2B5EF4-FFF2-40B4-BE49-F238E27FC236}">
              <a16:creationId xmlns:a16="http://schemas.microsoft.com/office/drawing/2014/main" id="{12BC4653-B16B-47D7-9909-153F5D9179F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3" name="TextBox 2522">
          <a:extLst>
            <a:ext uri="{FF2B5EF4-FFF2-40B4-BE49-F238E27FC236}">
              <a16:creationId xmlns:a16="http://schemas.microsoft.com/office/drawing/2014/main" id="{5587E7A4-B60E-488A-8958-0F8773D34A3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4" name="TextBox 2523">
          <a:extLst>
            <a:ext uri="{FF2B5EF4-FFF2-40B4-BE49-F238E27FC236}">
              <a16:creationId xmlns:a16="http://schemas.microsoft.com/office/drawing/2014/main" id="{06287582-B0D2-4D39-8DFB-9FC8ACC4F10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5" name="TextBox 1">
          <a:extLst>
            <a:ext uri="{FF2B5EF4-FFF2-40B4-BE49-F238E27FC236}">
              <a16:creationId xmlns:a16="http://schemas.microsoft.com/office/drawing/2014/main" id="{95DB19EF-9197-4041-950F-D0D1DE7A590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6" name="TextBox 1">
          <a:extLst>
            <a:ext uri="{FF2B5EF4-FFF2-40B4-BE49-F238E27FC236}">
              <a16:creationId xmlns:a16="http://schemas.microsoft.com/office/drawing/2014/main" id="{19117AAF-90B0-4F6E-9D1D-7B3A7B0A1D1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7" name="TextBox 2526">
          <a:extLst>
            <a:ext uri="{FF2B5EF4-FFF2-40B4-BE49-F238E27FC236}">
              <a16:creationId xmlns:a16="http://schemas.microsoft.com/office/drawing/2014/main" id="{E1687E12-CB91-410D-B893-2CD74910359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8" name="TextBox 2527">
          <a:extLst>
            <a:ext uri="{FF2B5EF4-FFF2-40B4-BE49-F238E27FC236}">
              <a16:creationId xmlns:a16="http://schemas.microsoft.com/office/drawing/2014/main" id="{4A7EB423-C3E1-4AAE-845D-6518749F9E2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9" name="TextBox 1">
          <a:extLst>
            <a:ext uri="{FF2B5EF4-FFF2-40B4-BE49-F238E27FC236}">
              <a16:creationId xmlns:a16="http://schemas.microsoft.com/office/drawing/2014/main" id="{21E2D749-C652-4976-902D-EDB02A4902F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0" name="TextBox 1">
          <a:extLst>
            <a:ext uri="{FF2B5EF4-FFF2-40B4-BE49-F238E27FC236}">
              <a16:creationId xmlns:a16="http://schemas.microsoft.com/office/drawing/2014/main" id="{084EB7D1-BCBF-4D1A-8221-833F4474475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1" name="TextBox 2530">
          <a:extLst>
            <a:ext uri="{FF2B5EF4-FFF2-40B4-BE49-F238E27FC236}">
              <a16:creationId xmlns:a16="http://schemas.microsoft.com/office/drawing/2014/main" id="{5E497899-19E7-4270-BC08-14B34C3F888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2" name="TextBox 2531">
          <a:extLst>
            <a:ext uri="{FF2B5EF4-FFF2-40B4-BE49-F238E27FC236}">
              <a16:creationId xmlns:a16="http://schemas.microsoft.com/office/drawing/2014/main" id="{002AB1AC-4BF3-4066-9A92-94E9CB7DB5C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3" name="TextBox 1">
          <a:extLst>
            <a:ext uri="{FF2B5EF4-FFF2-40B4-BE49-F238E27FC236}">
              <a16:creationId xmlns:a16="http://schemas.microsoft.com/office/drawing/2014/main" id="{4199A2C8-1943-4EB2-B619-DD436600653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4" name="TextBox 1">
          <a:extLst>
            <a:ext uri="{FF2B5EF4-FFF2-40B4-BE49-F238E27FC236}">
              <a16:creationId xmlns:a16="http://schemas.microsoft.com/office/drawing/2014/main" id="{EE77EABB-514A-4743-9D90-FB8EBD429D8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5" name="TextBox 2534">
          <a:extLst>
            <a:ext uri="{FF2B5EF4-FFF2-40B4-BE49-F238E27FC236}">
              <a16:creationId xmlns:a16="http://schemas.microsoft.com/office/drawing/2014/main" id="{052EA8F4-C73E-431D-8BF4-D24F990024B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6" name="TextBox 1">
          <a:extLst>
            <a:ext uri="{FF2B5EF4-FFF2-40B4-BE49-F238E27FC236}">
              <a16:creationId xmlns:a16="http://schemas.microsoft.com/office/drawing/2014/main" id="{659D7584-8EF1-42F0-B613-9AFE43CC777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7" name="TextBox 1">
          <a:extLst>
            <a:ext uri="{FF2B5EF4-FFF2-40B4-BE49-F238E27FC236}">
              <a16:creationId xmlns:a16="http://schemas.microsoft.com/office/drawing/2014/main" id="{4DA3CD1E-3677-4DF2-9D0D-9180BBAFA40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8" name="TextBox 2537">
          <a:extLst>
            <a:ext uri="{FF2B5EF4-FFF2-40B4-BE49-F238E27FC236}">
              <a16:creationId xmlns:a16="http://schemas.microsoft.com/office/drawing/2014/main" id="{D5ABCE4D-34C8-44EF-94DB-DED759D1148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9" name="TextBox 1">
          <a:extLst>
            <a:ext uri="{FF2B5EF4-FFF2-40B4-BE49-F238E27FC236}">
              <a16:creationId xmlns:a16="http://schemas.microsoft.com/office/drawing/2014/main" id="{602270EF-4A6E-4999-9E4C-B8D873DC25F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0" name="TextBox 2539">
          <a:extLst>
            <a:ext uri="{FF2B5EF4-FFF2-40B4-BE49-F238E27FC236}">
              <a16:creationId xmlns:a16="http://schemas.microsoft.com/office/drawing/2014/main" id="{F7487491-2C12-4972-A98B-EC818FCEEE4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1" name="TextBox 1">
          <a:extLst>
            <a:ext uri="{FF2B5EF4-FFF2-40B4-BE49-F238E27FC236}">
              <a16:creationId xmlns:a16="http://schemas.microsoft.com/office/drawing/2014/main" id="{347355B3-5254-4CAF-AF62-9B1D2F4CA70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2" name="TextBox 1">
          <a:extLst>
            <a:ext uri="{FF2B5EF4-FFF2-40B4-BE49-F238E27FC236}">
              <a16:creationId xmlns:a16="http://schemas.microsoft.com/office/drawing/2014/main" id="{9A14D337-63EE-4AA2-8706-217F2E728BF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3" name="TextBox 2542">
          <a:extLst>
            <a:ext uri="{FF2B5EF4-FFF2-40B4-BE49-F238E27FC236}">
              <a16:creationId xmlns:a16="http://schemas.microsoft.com/office/drawing/2014/main" id="{EC4885D2-9263-4FC8-9FDE-0FF2F1757EF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4" name="TextBox 2543">
          <a:extLst>
            <a:ext uri="{FF2B5EF4-FFF2-40B4-BE49-F238E27FC236}">
              <a16:creationId xmlns:a16="http://schemas.microsoft.com/office/drawing/2014/main" id="{A82E8BA5-B88E-41C4-8EF5-9A0ADA521D0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5" name="TextBox 1">
          <a:extLst>
            <a:ext uri="{FF2B5EF4-FFF2-40B4-BE49-F238E27FC236}">
              <a16:creationId xmlns:a16="http://schemas.microsoft.com/office/drawing/2014/main" id="{C3663260-AA1F-4792-AA1C-D3000E729E2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6" name="TextBox 1">
          <a:extLst>
            <a:ext uri="{FF2B5EF4-FFF2-40B4-BE49-F238E27FC236}">
              <a16:creationId xmlns:a16="http://schemas.microsoft.com/office/drawing/2014/main" id="{AAA62892-9B35-4E89-8CFF-E06BFC8C9C6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7" name="TextBox 2546">
          <a:extLst>
            <a:ext uri="{FF2B5EF4-FFF2-40B4-BE49-F238E27FC236}">
              <a16:creationId xmlns:a16="http://schemas.microsoft.com/office/drawing/2014/main" id="{F8ED7F2B-D9CA-45E0-A5DD-08BAD63E521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8" name="TextBox 2547">
          <a:extLst>
            <a:ext uri="{FF2B5EF4-FFF2-40B4-BE49-F238E27FC236}">
              <a16:creationId xmlns:a16="http://schemas.microsoft.com/office/drawing/2014/main" id="{FE24D7AE-249B-4194-B703-FC67294C58D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9" name="TextBox 2548">
          <a:extLst>
            <a:ext uri="{FF2B5EF4-FFF2-40B4-BE49-F238E27FC236}">
              <a16:creationId xmlns:a16="http://schemas.microsoft.com/office/drawing/2014/main" id="{13883AC1-D0B0-4A18-B3A8-E7A30C7227E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0" name="TextBox 1">
          <a:extLst>
            <a:ext uri="{FF2B5EF4-FFF2-40B4-BE49-F238E27FC236}">
              <a16:creationId xmlns:a16="http://schemas.microsoft.com/office/drawing/2014/main" id="{CCEC4C42-C1EB-4600-89C9-BD32AF1DBD4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1" name="TextBox 1">
          <a:extLst>
            <a:ext uri="{FF2B5EF4-FFF2-40B4-BE49-F238E27FC236}">
              <a16:creationId xmlns:a16="http://schemas.microsoft.com/office/drawing/2014/main" id="{59C8FE09-053A-4599-82A6-8AE79ABE020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2" name="TextBox 2551">
          <a:extLst>
            <a:ext uri="{FF2B5EF4-FFF2-40B4-BE49-F238E27FC236}">
              <a16:creationId xmlns:a16="http://schemas.microsoft.com/office/drawing/2014/main" id="{1A770891-6E8C-4A3E-89F9-9957944ADFD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3" name="TextBox 2552">
          <a:extLst>
            <a:ext uri="{FF2B5EF4-FFF2-40B4-BE49-F238E27FC236}">
              <a16:creationId xmlns:a16="http://schemas.microsoft.com/office/drawing/2014/main" id="{40FF8DA5-6F97-478C-924D-6713E9D2875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4" name="TextBox 1">
          <a:extLst>
            <a:ext uri="{FF2B5EF4-FFF2-40B4-BE49-F238E27FC236}">
              <a16:creationId xmlns:a16="http://schemas.microsoft.com/office/drawing/2014/main" id="{C5D5D771-0D87-4714-89D3-99BD24E272A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5" name="TextBox 1">
          <a:extLst>
            <a:ext uri="{FF2B5EF4-FFF2-40B4-BE49-F238E27FC236}">
              <a16:creationId xmlns:a16="http://schemas.microsoft.com/office/drawing/2014/main" id="{1D5D99B2-4CFD-4BB6-A06D-05B60AAEC14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6" name="TextBox 2555">
          <a:extLst>
            <a:ext uri="{FF2B5EF4-FFF2-40B4-BE49-F238E27FC236}">
              <a16:creationId xmlns:a16="http://schemas.microsoft.com/office/drawing/2014/main" id="{3A1A3505-2FA1-47C8-B723-D9E64710089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7" name="TextBox 2556">
          <a:extLst>
            <a:ext uri="{FF2B5EF4-FFF2-40B4-BE49-F238E27FC236}">
              <a16:creationId xmlns:a16="http://schemas.microsoft.com/office/drawing/2014/main" id="{47EBA58C-D95C-4830-BF04-DAC9F4E1C4D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8" name="TextBox 1">
          <a:extLst>
            <a:ext uri="{FF2B5EF4-FFF2-40B4-BE49-F238E27FC236}">
              <a16:creationId xmlns:a16="http://schemas.microsoft.com/office/drawing/2014/main" id="{583773AA-C049-4BE7-9622-D4690886F36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9" name="TextBox 1">
          <a:extLst>
            <a:ext uri="{FF2B5EF4-FFF2-40B4-BE49-F238E27FC236}">
              <a16:creationId xmlns:a16="http://schemas.microsoft.com/office/drawing/2014/main" id="{D84D5803-E508-4FC8-8FC3-D79722E1942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0" name="TextBox 2559">
          <a:extLst>
            <a:ext uri="{FF2B5EF4-FFF2-40B4-BE49-F238E27FC236}">
              <a16:creationId xmlns:a16="http://schemas.microsoft.com/office/drawing/2014/main" id="{26562BBC-6362-4414-8860-65E1F10F034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1" name="TextBox 2560">
          <a:extLst>
            <a:ext uri="{FF2B5EF4-FFF2-40B4-BE49-F238E27FC236}">
              <a16:creationId xmlns:a16="http://schemas.microsoft.com/office/drawing/2014/main" id="{39199358-882F-4946-B6E9-3B8D230A838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2" name="TextBox 1">
          <a:extLst>
            <a:ext uri="{FF2B5EF4-FFF2-40B4-BE49-F238E27FC236}">
              <a16:creationId xmlns:a16="http://schemas.microsoft.com/office/drawing/2014/main" id="{CCC840C9-0FFF-458C-94C0-00C8F84D586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3" name="TextBox 1">
          <a:extLst>
            <a:ext uri="{FF2B5EF4-FFF2-40B4-BE49-F238E27FC236}">
              <a16:creationId xmlns:a16="http://schemas.microsoft.com/office/drawing/2014/main" id="{8197E79A-569F-41E4-A0AC-4B7F724F301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4" name="TextBox 2563">
          <a:extLst>
            <a:ext uri="{FF2B5EF4-FFF2-40B4-BE49-F238E27FC236}">
              <a16:creationId xmlns:a16="http://schemas.microsoft.com/office/drawing/2014/main" id="{EC82386D-3ED9-470D-871C-0482AB385A4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5" name="TextBox 2564">
          <a:extLst>
            <a:ext uri="{FF2B5EF4-FFF2-40B4-BE49-F238E27FC236}">
              <a16:creationId xmlns:a16="http://schemas.microsoft.com/office/drawing/2014/main" id="{D30D3A60-C74B-4A07-A5CE-5F6FF9AF18B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6" name="TextBox 1">
          <a:extLst>
            <a:ext uri="{FF2B5EF4-FFF2-40B4-BE49-F238E27FC236}">
              <a16:creationId xmlns:a16="http://schemas.microsoft.com/office/drawing/2014/main" id="{E659813B-6CAE-438C-B224-EB463368BF8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7" name="TextBox 1">
          <a:extLst>
            <a:ext uri="{FF2B5EF4-FFF2-40B4-BE49-F238E27FC236}">
              <a16:creationId xmlns:a16="http://schemas.microsoft.com/office/drawing/2014/main" id="{63561947-DDB9-4F9F-A147-41472C3C72B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8" name="TextBox 2567">
          <a:extLst>
            <a:ext uri="{FF2B5EF4-FFF2-40B4-BE49-F238E27FC236}">
              <a16:creationId xmlns:a16="http://schemas.microsoft.com/office/drawing/2014/main" id="{87908AA7-5365-4E2B-A0F4-E3232E00A6A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9" name="TextBox 2568">
          <a:extLst>
            <a:ext uri="{FF2B5EF4-FFF2-40B4-BE49-F238E27FC236}">
              <a16:creationId xmlns:a16="http://schemas.microsoft.com/office/drawing/2014/main" id="{68FE9FEB-DDE4-4623-9F46-94B1FC7A325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0" name="TextBox 1">
          <a:extLst>
            <a:ext uri="{FF2B5EF4-FFF2-40B4-BE49-F238E27FC236}">
              <a16:creationId xmlns:a16="http://schemas.microsoft.com/office/drawing/2014/main" id="{A2AFA232-BA27-41C3-B654-43A36F0FE20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1" name="TextBox 1">
          <a:extLst>
            <a:ext uri="{FF2B5EF4-FFF2-40B4-BE49-F238E27FC236}">
              <a16:creationId xmlns:a16="http://schemas.microsoft.com/office/drawing/2014/main" id="{D90FB861-2D2B-40F9-AD7A-8BEF35F90B4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2" name="TextBox 2571">
          <a:extLst>
            <a:ext uri="{FF2B5EF4-FFF2-40B4-BE49-F238E27FC236}">
              <a16:creationId xmlns:a16="http://schemas.microsoft.com/office/drawing/2014/main" id="{8C9B55F4-D29E-45DB-AE2C-C0C989CF2C3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3" name="TextBox 2572">
          <a:extLst>
            <a:ext uri="{FF2B5EF4-FFF2-40B4-BE49-F238E27FC236}">
              <a16:creationId xmlns:a16="http://schemas.microsoft.com/office/drawing/2014/main" id="{0C5629B2-CF00-4116-8351-2FB301DE011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4" name="TextBox 1">
          <a:extLst>
            <a:ext uri="{FF2B5EF4-FFF2-40B4-BE49-F238E27FC236}">
              <a16:creationId xmlns:a16="http://schemas.microsoft.com/office/drawing/2014/main" id="{898C2388-E8D6-4E1C-AEC3-2DE76C8F537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5" name="TextBox 1">
          <a:extLst>
            <a:ext uri="{FF2B5EF4-FFF2-40B4-BE49-F238E27FC236}">
              <a16:creationId xmlns:a16="http://schemas.microsoft.com/office/drawing/2014/main" id="{005E5EE7-F8BF-49A8-AAD1-ACF6B89FCF8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6" name="TextBox 2575">
          <a:extLst>
            <a:ext uri="{FF2B5EF4-FFF2-40B4-BE49-F238E27FC236}">
              <a16:creationId xmlns:a16="http://schemas.microsoft.com/office/drawing/2014/main" id="{F43C5782-1FD5-49D5-8027-57EC5526893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7" name="TextBox 2576">
          <a:extLst>
            <a:ext uri="{FF2B5EF4-FFF2-40B4-BE49-F238E27FC236}">
              <a16:creationId xmlns:a16="http://schemas.microsoft.com/office/drawing/2014/main" id="{76B9E2A0-95D7-4C46-B2EA-8B68C334176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8" name="TextBox 1">
          <a:extLst>
            <a:ext uri="{FF2B5EF4-FFF2-40B4-BE49-F238E27FC236}">
              <a16:creationId xmlns:a16="http://schemas.microsoft.com/office/drawing/2014/main" id="{D85C3FD0-A7C8-4E2F-B10C-910D81B7B16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9" name="TextBox 1">
          <a:extLst>
            <a:ext uri="{FF2B5EF4-FFF2-40B4-BE49-F238E27FC236}">
              <a16:creationId xmlns:a16="http://schemas.microsoft.com/office/drawing/2014/main" id="{34F7B5D6-E822-447E-BC8A-FB24CB4338C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0" name="TextBox 2579">
          <a:extLst>
            <a:ext uri="{FF2B5EF4-FFF2-40B4-BE49-F238E27FC236}">
              <a16:creationId xmlns:a16="http://schemas.microsoft.com/office/drawing/2014/main" id="{B0BA1569-F15C-43C7-A4FF-21620AC8753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1" name="TextBox 2580">
          <a:extLst>
            <a:ext uri="{FF2B5EF4-FFF2-40B4-BE49-F238E27FC236}">
              <a16:creationId xmlns:a16="http://schemas.microsoft.com/office/drawing/2014/main" id="{0D9D70A4-DBC8-4A5A-ABE5-90E36A79441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2" name="TextBox 1">
          <a:extLst>
            <a:ext uri="{FF2B5EF4-FFF2-40B4-BE49-F238E27FC236}">
              <a16:creationId xmlns:a16="http://schemas.microsoft.com/office/drawing/2014/main" id="{62D9039F-81C8-4AA2-8F32-FBCA402F14D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3" name="TextBox 1">
          <a:extLst>
            <a:ext uri="{FF2B5EF4-FFF2-40B4-BE49-F238E27FC236}">
              <a16:creationId xmlns:a16="http://schemas.microsoft.com/office/drawing/2014/main" id="{18F8144D-3BA1-436B-A5AC-224C53A397F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4" name="TextBox 2583">
          <a:extLst>
            <a:ext uri="{FF2B5EF4-FFF2-40B4-BE49-F238E27FC236}">
              <a16:creationId xmlns:a16="http://schemas.microsoft.com/office/drawing/2014/main" id="{9902DF21-6FD9-4382-9DE6-E0825D0736E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5" name="TextBox 2584">
          <a:extLst>
            <a:ext uri="{FF2B5EF4-FFF2-40B4-BE49-F238E27FC236}">
              <a16:creationId xmlns:a16="http://schemas.microsoft.com/office/drawing/2014/main" id="{E3622BE8-B4D2-46D7-8D64-99DF6F731A5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6" name="TextBox 2585">
          <a:extLst>
            <a:ext uri="{FF2B5EF4-FFF2-40B4-BE49-F238E27FC236}">
              <a16:creationId xmlns:a16="http://schemas.microsoft.com/office/drawing/2014/main" id="{691792AC-DF1C-4BCE-9574-FBEE71B382C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7" name="TextBox 1">
          <a:extLst>
            <a:ext uri="{FF2B5EF4-FFF2-40B4-BE49-F238E27FC236}">
              <a16:creationId xmlns:a16="http://schemas.microsoft.com/office/drawing/2014/main" id="{197FC09B-1135-402F-A532-462D22B0B47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8" name="TextBox 1">
          <a:extLst>
            <a:ext uri="{FF2B5EF4-FFF2-40B4-BE49-F238E27FC236}">
              <a16:creationId xmlns:a16="http://schemas.microsoft.com/office/drawing/2014/main" id="{CA9FC9A1-7501-4D67-A5F4-0A6762F7B97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9" name="TextBox 2588">
          <a:extLst>
            <a:ext uri="{FF2B5EF4-FFF2-40B4-BE49-F238E27FC236}">
              <a16:creationId xmlns:a16="http://schemas.microsoft.com/office/drawing/2014/main" id="{DAF8D05F-9E4D-4228-8575-47F2B4E4FE2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0" name="TextBox 2589">
          <a:extLst>
            <a:ext uri="{FF2B5EF4-FFF2-40B4-BE49-F238E27FC236}">
              <a16:creationId xmlns:a16="http://schemas.microsoft.com/office/drawing/2014/main" id="{563C5535-8D72-47E6-9D41-AF5CA1F696A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1" name="TextBox 1">
          <a:extLst>
            <a:ext uri="{FF2B5EF4-FFF2-40B4-BE49-F238E27FC236}">
              <a16:creationId xmlns:a16="http://schemas.microsoft.com/office/drawing/2014/main" id="{5CAF48EE-20BB-4384-9F9C-612EC5DCA58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2" name="TextBox 1">
          <a:extLst>
            <a:ext uri="{FF2B5EF4-FFF2-40B4-BE49-F238E27FC236}">
              <a16:creationId xmlns:a16="http://schemas.microsoft.com/office/drawing/2014/main" id="{F1779FB6-F586-4436-B3D0-6C5D81F3C19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3" name="TextBox 2592">
          <a:extLst>
            <a:ext uri="{FF2B5EF4-FFF2-40B4-BE49-F238E27FC236}">
              <a16:creationId xmlns:a16="http://schemas.microsoft.com/office/drawing/2014/main" id="{91206910-335E-4878-B8F9-B9C4E490830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4" name="TextBox 2593">
          <a:extLst>
            <a:ext uri="{FF2B5EF4-FFF2-40B4-BE49-F238E27FC236}">
              <a16:creationId xmlns:a16="http://schemas.microsoft.com/office/drawing/2014/main" id="{8D690E18-1027-42C1-ADBD-392A547BDFB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5" name="TextBox 1">
          <a:extLst>
            <a:ext uri="{FF2B5EF4-FFF2-40B4-BE49-F238E27FC236}">
              <a16:creationId xmlns:a16="http://schemas.microsoft.com/office/drawing/2014/main" id="{DBF7C246-961B-4BA5-991F-679CB38433D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6" name="TextBox 1">
          <a:extLst>
            <a:ext uri="{FF2B5EF4-FFF2-40B4-BE49-F238E27FC236}">
              <a16:creationId xmlns:a16="http://schemas.microsoft.com/office/drawing/2014/main" id="{7B5987C3-D5C9-4CFC-BAC4-862B290F4DC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7" name="TextBox 2596">
          <a:extLst>
            <a:ext uri="{FF2B5EF4-FFF2-40B4-BE49-F238E27FC236}">
              <a16:creationId xmlns:a16="http://schemas.microsoft.com/office/drawing/2014/main" id="{1286DD37-76D6-4FD0-AE36-E0BF7155237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8" name="TextBox 2597">
          <a:extLst>
            <a:ext uri="{FF2B5EF4-FFF2-40B4-BE49-F238E27FC236}">
              <a16:creationId xmlns:a16="http://schemas.microsoft.com/office/drawing/2014/main" id="{E5D8D3B3-33F6-4EF4-92D1-06F024EFBD3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9" name="TextBox 1">
          <a:extLst>
            <a:ext uri="{FF2B5EF4-FFF2-40B4-BE49-F238E27FC236}">
              <a16:creationId xmlns:a16="http://schemas.microsoft.com/office/drawing/2014/main" id="{17BF2E49-EB6B-4035-8915-E04A940DF95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0" name="TextBox 1">
          <a:extLst>
            <a:ext uri="{FF2B5EF4-FFF2-40B4-BE49-F238E27FC236}">
              <a16:creationId xmlns:a16="http://schemas.microsoft.com/office/drawing/2014/main" id="{E6B1169D-25BB-49DC-908B-BCCC9FF0CAD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1" name="TextBox 2600">
          <a:extLst>
            <a:ext uri="{FF2B5EF4-FFF2-40B4-BE49-F238E27FC236}">
              <a16:creationId xmlns:a16="http://schemas.microsoft.com/office/drawing/2014/main" id="{90E9FEA4-1244-489D-8136-BAB42EFEF1B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2" name="TextBox 2601">
          <a:extLst>
            <a:ext uri="{FF2B5EF4-FFF2-40B4-BE49-F238E27FC236}">
              <a16:creationId xmlns:a16="http://schemas.microsoft.com/office/drawing/2014/main" id="{52E4064F-FE8F-4FCB-A6DD-D984688594B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3" name="TextBox 1">
          <a:extLst>
            <a:ext uri="{FF2B5EF4-FFF2-40B4-BE49-F238E27FC236}">
              <a16:creationId xmlns:a16="http://schemas.microsoft.com/office/drawing/2014/main" id="{15979782-947F-411A-944C-4FD8C2D3E29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4" name="TextBox 1">
          <a:extLst>
            <a:ext uri="{FF2B5EF4-FFF2-40B4-BE49-F238E27FC236}">
              <a16:creationId xmlns:a16="http://schemas.microsoft.com/office/drawing/2014/main" id="{228D8B63-6D02-4D10-8E7D-CEEF944F572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5" name="TextBox 2604">
          <a:extLst>
            <a:ext uri="{FF2B5EF4-FFF2-40B4-BE49-F238E27FC236}">
              <a16:creationId xmlns:a16="http://schemas.microsoft.com/office/drawing/2014/main" id="{497E62F7-266D-4324-BE0E-B74FEC2A35F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6" name="TextBox 2605">
          <a:extLst>
            <a:ext uri="{FF2B5EF4-FFF2-40B4-BE49-F238E27FC236}">
              <a16:creationId xmlns:a16="http://schemas.microsoft.com/office/drawing/2014/main" id="{C29FF06F-A4C6-4363-A13E-4D325DF65A2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7" name="TextBox 1">
          <a:extLst>
            <a:ext uri="{FF2B5EF4-FFF2-40B4-BE49-F238E27FC236}">
              <a16:creationId xmlns:a16="http://schemas.microsoft.com/office/drawing/2014/main" id="{A7AB88A8-2878-494A-AB56-DCEED3DB8E6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8" name="TextBox 1">
          <a:extLst>
            <a:ext uri="{FF2B5EF4-FFF2-40B4-BE49-F238E27FC236}">
              <a16:creationId xmlns:a16="http://schemas.microsoft.com/office/drawing/2014/main" id="{ACB6D3E5-536A-42CB-BEB0-B7972EC4253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9" name="TextBox 2608">
          <a:extLst>
            <a:ext uri="{FF2B5EF4-FFF2-40B4-BE49-F238E27FC236}">
              <a16:creationId xmlns:a16="http://schemas.microsoft.com/office/drawing/2014/main" id="{F10AF29E-1FE4-4799-BD7E-4DE2D01A58A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0" name="TextBox 2609">
          <a:extLst>
            <a:ext uri="{FF2B5EF4-FFF2-40B4-BE49-F238E27FC236}">
              <a16:creationId xmlns:a16="http://schemas.microsoft.com/office/drawing/2014/main" id="{C45BCBC0-186B-46F5-ABF9-7771532B2E9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1" name="TextBox 1">
          <a:extLst>
            <a:ext uri="{FF2B5EF4-FFF2-40B4-BE49-F238E27FC236}">
              <a16:creationId xmlns:a16="http://schemas.microsoft.com/office/drawing/2014/main" id="{EC6AB27F-C04C-4061-A4D6-E88221F93E4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2" name="TextBox 1">
          <a:extLst>
            <a:ext uri="{FF2B5EF4-FFF2-40B4-BE49-F238E27FC236}">
              <a16:creationId xmlns:a16="http://schemas.microsoft.com/office/drawing/2014/main" id="{18C817E9-469A-4327-ABFB-22491922ECE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3" name="TextBox 2612">
          <a:extLst>
            <a:ext uri="{FF2B5EF4-FFF2-40B4-BE49-F238E27FC236}">
              <a16:creationId xmlns:a16="http://schemas.microsoft.com/office/drawing/2014/main" id="{E91CBEE8-0C94-4451-B658-90DC63FBA28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4" name="TextBox 2613">
          <a:extLst>
            <a:ext uri="{FF2B5EF4-FFF2-40B4-BE49-F238E27FC236}">
              <a16:creationId xmlns:a16="http://schemas.microsoft.com/office/drawing/2014/main" id="{24006346-E4A9-495D-9AAE-3D46A376095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5" name="TextBox 1">
          <a:extLst>
            <a:ext uri="{FF2B5EF4-FFF2-40B4-BE49-F238E27FC236}">
              <a16:creationId xmlns:a16="http://schemas.microsoft.com/office/drawing/2014/main" id="{885840BA-3398-4CD5-B3EE-E9950F7911D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6" name="TextBox 1">
          <a:extLst>
            <a:ext uri="{FF2B5EF4-FFF2-40B4-BE49-F238E27FC236}">
              <a16:creationId xmlns:a16="http://schemas.microsoft.com/office/drawing/2014/main" id="{C17488B1-7867-4A9F-86D8-CF324118052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7" name="TextBox 2616">
          <a:extLst>
            <a:ext uri="{FF2B5EF4-FFF2-40B4-BE49-F238E27FC236}">
              <a16:creationId xmlns:a16="http://schemas.microsoft.com/office/drawing/2014/main" id="{304B76C0-7583-44A4-B3BD-BA50E8F5C09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8" name="TextBox 2617">
          <a:extLst>
            <a:ext uri="{FF2B5EF4-FFF2-40B4-BE49-F238E27FC236}">
              <a16:creationId xmlns:a16="http://schemas.microsoft.com/office/drawing/2014/main" id="{50E48450-FD07-4ACC-82EA-7CC11E4AA9A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9" name="TextBox 1">
          <a:extLst>
            <a:ext uri="{FF2B5EF4-FFF2-40B4-BE49-F238E27FC236}">
              <a16:creationId xmlns:a16="http://schemas.microsoft.com/office/drawing/2014/main" id="{A40CA1DF-80FA-4208-A78A-0B3475B7F99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0" name="TextBox 1">
          <a:extLst>
            <a:ext uri="{FF2B5EF4-FFF2-40B4-BE49-F238E27FC236}">
              <a16:creationId xmlns:a16="http://schemas.microsoft.com/office/drawing/2014/main" id="{5293A7F2-0EAC-4888-B35B-B05BED5FA6F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1" name="TextBox 2620">
          <a:extLst>
            <a:ext uri="{FF2B5EF4-FFF2-40B4-BE49-F238E27FC236}">
              <a16:creationId xmlns:a16="http://schemas.microsoft.com/office/drawing/2014/main" id="{DF4F5AAA-9A73-4F0E-9E5B-582C2BEADCB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2" name="TextBox 2621">
          <a:extLst>
            <a:ext uri="{FF2B5EF4-FFF2-40B4-BE49-F238E27FC236}">
              <a16:creationId xmlns:a16="http://schemas.microsoft.com/office/drawing/2014/main" id="{A7096D83-358C-40C5-93ED-5F2FFE53063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3" name="TextBox 1">
          <a:extLst>
            <a:ext uri="{FF2B5EF4-FFF2-40B4-BE49-F238E27FC236}">
              <a16:creationId xmlns:a16="http://schemas.microsoft.com/office/drawing/2014/main" id="{E189AB66-4F1B-490B-A622-C567C4429FE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4" name="TextBox 1">
          <a:extLst>
            <a:ext uri="{FF2B5EF4-FFF2-40B4-BE49-F238E27FC236}">
              <a16:creationId xmlns:a16="http://schemas.microsoft.com/office/drawing/2014/main" id="{5CAA5EA0-5D33-4770-834E-2906CFB961D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5" name="TextBox 2624">
          <a:extLst>
            <a:ext uri="{FF2B5EF4-FFF2-40B4-BE49-F238E27FC236}">
              <a16:creationId xmlns:a16="http://schemas.microsoft.com/office/drawing/2014/main" id="{5C286ADA-D32D-423E-AFD6-623D3FDAC72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6" name="TextBox 2625">
          <a:extLst>
            <a:ext uri="{FF2B5EF4-FFF2-40B4-BE49-F238E27FC236}">
              <a16:creationId xmlns:a16="http://schemas.microsoft.com/office/drawing/2014/main" id="{F7D897D3-0867-4816-B9E8-9F9E4D31169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7" name="TextBox 1">
          <a:extLst>
            <a:ext uri="{FF2B5EF4-FFF2-40B4-BE49-F238E27FC236}">
              <a16:creationId xmlns:a16="http://schemas.microsoft.com/office/drawing/2014/main" id="{BFEF91D9-2885-4291-8901-02BF4A18169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8" name="TextBox 1">
          <a:extLst>
            <a:ext uri="{FF2B5EF4-FFF2-40B4-BE49-F238E27FC236}">
              <a16:creationId xmlns:a16="http://schemas.microsoft.com/office/drawing/2014/main" id="{63D54CF8-DE85-41A8-8DA9-EAC86D936A8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9" name="TextBox 2628">
          <a:extLst>
            <a:ext uri="{FF2B5EF4-FFF2-40B4-BE49-F238E27FC236}">
              <a16:creationId xmlns:a16="http://schemas.microsoft.com/office/drawing/2014/main" id="{3E3A4F44-EE67-4FBD-8AEC-EA22304D648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0" name="TextBox 2629">
          <a:extLst>
            <a:ext uri="{FF2B5EF4-FFF2-40B4-BE49-F238E27FC236}">
              <a16:creationId xmlns:a16="http://schemas.microsoft.com/office/drawing/2014/main" id="{003EB387-B102-429F-A32D-AF6C89F6BB3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1" name="TextBox 2630">
          <a:extLst>
            <a:ext uri="{FF2B5EF4-FFF2-40B4-BE49-F238E27FC236}">
              <a16:creationId xmlns:a16="http://schemas.microsoft.com/office/drawing/2014/main" id="{7451C548-C358-4217-BCDE-13269883FBD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2" name="TextBox 1">
          <a:extLst>
            <a:ext uri="{FF2B5EF4-FFF2-40B4-BE49-F238E27FC236}">
              <a16:creationId xmlns:a16="http://schemas.microsoft.com/office/drawing/2014/main" id="{1B6F82B4-2039-47D3-9942-2FD61A30F3C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3" name="TextBox 1">
          <a:extLst>
            <a:ext uri="{FF2B5EF4-FFF2-40B4-BE49-F238E27FC236}">
              <a16:creationId xmlns:a16="http://schemas.microsoft.com/office/drawing/2014/main" id="{2F1C6F13-5941-467E-A662-4BBD446EC0C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4" name="TextBox 2633">
          <a:extLst>
            <a:ext uri="{FF2B5EF4-FFF2-40B4-BE49-F238E27FC236}">
              <a16:creationId xmlns:a16="http://schemas.microsoft.com/office/drawing/2014/main" id="{F422CFB8-1BFB-4B49-B180-B0195B49B23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5" name="TextBox 2634">
          <a:extLst>
            <a:ext uri="{FF2B5EF4-FFF2-40B4-BE49-F238E27FC236}">
              <a16:creationId xmlns:a16="http://schemas.microsoft.com/office/drawing/2014/main" id="{E1C42389-8E06-481B-B400-C1DB5940125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6" name="TextBox 1">
          <a:extLst>
            <a:ext uri="{FF2B5EF4-FFF2-40B4-BE49-F238E27FC236}">
              <a16:creationId xmlns:a16="http://schemas.microsoft.com/office/drawing/2014/main" id="{D0557223-8C83-4C04-A8EE-F3B6722E161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7" name="TextBox 1">
          <a:extLst>
            <a:ext uri="{FF2B5EF4-FFF2-40B4-BE49-F238E27FC236}">
              <a16:creationId xmlns:a16="http://schemas.microsoft.com/office/drawing/2014/main" id="{198438DE-8042-4E04-8E66-D705BFF6F1B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8" name="TextBox 2637">
          <a:extLst>
            <a:ext uri="{FF2B5EF4-FFF2-40B4-BE49-F238E27FC236}">
              <a16:creationId xmlns:a16="http://schemas.microsoft.com/office/drawing/2014/main" id="{B1BD462F-B6AD-4E1D-82E6-16A92725E4C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9" name="TextBox 2638">
          <a:extLst>
            <a:ext uri="{FF2B5EF4-FFF2-40B4-BE49-F238E27FC236}">
              <a16:creationId xmlns:a16="http://schemas.microsoft.com/office/drawing/2014/main" id="{70559618-5072-444D-ADEE-6D3956EC2F4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0" name="TextBox 1">
          <a:extLst>
            <a:ext uri="{FF2B5EF4-FFF2-40B4-BE49-F238E27FC236}">
              <a16:creationId xmlns:a16="http://schemas.microsoft.com/office/drawing/2014/main" id="{8C495E40-6827-4660-97CA-1A129964476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1" name="TextBox 1">
          <a:extLst>
            <a:ext uri="{FF2B5EF4-FFF2-40B4-BE49-F238E27FC236}">
              <a16:creationId xmlns:a16="http://schemas.microsoft.com/office/drawing/2014/main" id="{BEA5A618-BEAC-4371-8AEB-D463AD4F69D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2" name="TextBox 2641">
          <a:extLst>
            <a:ext uri="{FF2B5EF4-FFF2-40B4-BE49-F238E27FC236}">
              <a16:creationId xmlns:a16="http://schemas.microsoft.com/office/drawing/2014/main" id="{6EE229E1-B813-4B6C-9D6E-E2270D54A5A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3" name="TextBox 2642">
          <a:extLst>
            <a:ext uri="{FF2B5EF4-FFF2-40B4-BE49-F238E27FC236}">
              <a16:creationId xmlns:a16="http://schemas.microsoft.com/office/drawing/2014/main" id="{5F99EB53-0118-49E6-90D5-1994CAF878F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4" name="TextBox 1">
          <a:extLst>
            <a:ext uri="{FF2B5EF4-FFF2-40B4-BE49-F238E27FC236}">
              <a16:creationId xmlns:a16="http://schemas.microsoft.com/office/drawing/2014/main" id="{205D985D-A0BE-4CA4-95AA-8048DB310CC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5" name="TextBox 1">
          <a:extLst>
            <a:ext uri="{FF2B5EF4-FFF2-40B4-BE49-F238E27FC236}">
              <a16:creationId xmlns:a16="http://schemas.microsoft.com/office/drawing/2014/main" id="{010E2755-4479-4676-AE0A-AF524E32920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6" name="TextBox 2645">
          <a:extLst>
            <a:ext uri="{FF2B5EF4-FFF2-40B4-BE49-F238E27FC236}">
              <a16:creationId xmlns:a16="http://schemas.microsoft.com/office/drawing/2014/main" id="{5143FABC-DE05-4449-8D69-47118D2A5B6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7" name="TextBox 2646">
          <a:extLst>
            <a:ext uri="{FF2B5EF4-FFF2-40B4-BE49-F238E27FC236}">
              <a16:creationId xmlns:a16="http://schemas.microsoft.com/office/drawing/2014/main" id="{75637F23-0DA5-4B28-B184-AC5F10219DE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8" name="TextBox 1">
          <a:extLst>
            <a:ext uri="{FF2B5EF4-FFF2-40B4-BE49-F238E27FC236}">
              <a16:creationId xmlns:a16="http://schemas.microsoft.com/office/drawing/2014/main" id="{2A9574EA-9947-483B-B106-ED3A2E95313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9" name="TextBox 1">
          <a:extLst>
            <a:ext uri="{FF2B5EF4-FFF2-40B4-BE49-F238E27FC236}">
              <a16:creationId xmlns:a16="http://schemas.microsoft.com/office/drawing/2014/main" id="{900713EC-E12F-461D-A11D-9A908B8A618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0" name="TextBox 2649">
          <a:extLst>
            <a:ext uri="{FF2B5EF4-FFF2-40B4-BE49-F238E27FC236}">
              <a16:creationId xmlns:a16="http://schemas.microsoft.com/office/drawing/2014/main" id="{90652DB9-1914-417A-B4AD-A6856121C9F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1" name="TextBox 2650">
          <a:extLst>
            <a:ext uri="{FF2B5EF4-FFF2-40B4-BE49-F238E27FC236}">
              <a16:creationId xmlns:a16="http://schemas.microsoft.com/office/drawing/2014/main" id="{89ED091A-A042-4F2C-9A79-30B00AE01F2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2" name="TextBox 1">
          <a:extLst>
            <a:ext uri="{FF2B5EF4-FFF2-40B4-BE49-F238E27FC236}">
              <a16:creationId xmlns:a16="http://schemas.microsoft.com/office/drawing/2014/main" id="{6922D807-B6D0-40AA-85AB-375535B64D4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3" name="TextBox 1">
          <a:extLst>
            <a:ext uri="{FF2B5EF4-FFF2-40B4-BE49-F238E27FC236}">
              <a16:creationId xmlns:a16="http://schemas.microsoft.com/office/drawing/2014/main" id="{74E2FA1F-785F-43E3-A275-037F84530A9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4" name="TextBox 2653">
          <a:extLst>
            <a:ext uri="{FF2B5EF4-FFF2-40B4-BE49-F238E27FC236}">
              <a16:creationId xmlns:a16="http://schemas.microsoft.com/office/drawing/2014/main" id="{5FAC3D46-7E1F-46CB-9B39-304D8E04ADD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5" name="TextBox 2654">
          <a:extLst>
            <a:ext uri="{FF2B5EF4-FFF2-40B4-BE49-F238E27FC236}">
              <a16:creationId xmlns:a16="http://schemas.microsoft.com/office/drawing/2014/main" id="{869D011A-6ECB-4AC0-B4D8-F5C09536E0D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6" name="TextBox 1">
          <a:extLst>
            <a:ext uri="{FF2B5EF4-FFF2-40B4-BE49-F238E27FC236}">
              <a16:creationId xmlns:a16="http://schemas.microsoft.com/office/drawing/2014/main" id="{140AC2D6-9D93-462B-9829-DB6182724BF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7" name="TextBox 1">
          <a:extLst>
            <a:ext uri="{FF2B5EF4-FFF2-40B4-BE49-F238E27FC236}">
              <a16:creationId xmlns:a16="http://schemas.microsoft.com/office/drawing/2014/main" id="{6E77FE91-50C3-46D9-B725-69D318FF58C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8" name="TextBox 2657">
          <a:extLst>
            <a:ext uri="{FF2B5EF4-FFF2-40B4-BE49-F238E27FC236}">
              <a16:creationId xmlns:a16="http://schemas.microsoft.com/office/drawing/2014/main" id="{83497C3D-875E-4940-A411-E9457EDFB71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9" name="TextBox 2658">
          <a:extLst>
            <a:ext uri="{FF2B5EF4-FFF2-40B4-BE49-F238E27FC236}">
              <a16:creationId xmlns:a16="http://schemas.microsoft.com/office/drawing/2014/main" id="{AF63D50D-2CED-43C2-90CB-9F3081235B0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0" name="TextBox 1">
          <a:extLst>
            <a:ext uri="{FF2B5EF4-FFF2-40B4-BE49-F238E27FC236}">
              <a16:creationId xmlns:a16="http://schemas.microsoft.com/office/drawing/2014/main" id="{C763E416-AA07-47E5-856E-E751D62C3BC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1" name="TextBox 1">
          <a:extLst>
            <a:ext uri="{FF2B5EF4-FFF2-40B4-BE49-F238E27FC236}">
              <a16:creationId xmlns:a16="http://schemas.microsoft.com/office/drawing/2014/main" id="{779BC640-2413-4A75-83B5-E96908E99D4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2" name="TextBox 2661">
          <a:extLst>
            <a:ext uri="{FF2B5EF4-FFF2-40B4-BE49-F238E27FC236}">
              <a16:creationId xmlns:a16="http://schemas.microsoft.com/office/drawing/2014/main" id="{FA123D37-138B-426F-81AA-88D09215FCD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3" name="TextBox 2662">
          <a:extLst>
            <a:ext uri="{FF2B5EF4-FFF2-40B4-BE49-F238E27FC236}">
              <a16:creationId xmlns:a16="http://schemas.microsoft.com/office/drawing/2014/main" id="{24BF7717-0976-4D5F-930A-779F92B3681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4" name="TextBox 1">
          <a:extLst>
            <a:ext uri="{FF2B5EF4-FFF2-40B4-BE49-F238E27FC236}">
              <a16:creationId xmlns:a16="http://schemas.microsoft.com/office/drawing/2014/main" id="{E82D278D-F663-4E08-8EE6-DFC4812CF8D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5" name="TextBox 1">
          <a:extLst>
            <a:ext uri="{FF2B5EF4-FFF2-40B4-BE49-F238E27FC236}">
              <a16:creationId xmlns:a16="http://schemas.microsoft.com/office/drawing/2014/main" id="{1EA73BBA-2933-4F58-BCA1-4C73D07A825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6" name="TextBox 2665">
          <a:extLst>
            <a:ext uri="{FF2B5EF4-FFF2-40B4-BE49-F238E27FC236}">
              <a16:creationId xmlns:a16="http://schemas.microsoft.com/office/drawing/2014/main" id="{742DA0C2-CCA9-480A-B82D-9F311339B0D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7" name="TextBox 1">
          <a:extLst>
            <a:ext uri="{FF2B5EF4-FFF2-40B4-BE49-F238E27FC236}">
              <a16:creationId xmlns:a16="http://schemas.microsoft.com/office/drawing/2014/main" id="{B6E75DF9-A7CD-4C82-BF0D-97E0766B64C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8" name="TextBox 1">
          <a:extLst>
            <a:ext uri="{FF2B5EF4-FFF2-40B4-BE49-F238E27FC236}">
              <a16:creationId xmlns:a16="http://schemas.microsoft.com/office/drawing/2014/main" id="{528BD87F-C176-4C58-BFF1-438C1EA5806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9" name="TextBox 2668">
          <a:extLst>
            <a:ext uri="{FF2B5EF4-FFF2-40B4-BE49-F238E27FC236}">
              <a16:creationId xmlns:a16="http://schemas.microsoft.com/office/drawing/2014/main" id="{C7B7AD59-2FB7-4519-89B1-F21851B4B7C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0" name="TextBox 1">
          <a:extLst>
            <a:ext uri="{FF2B5EF4-FFF2-40B4-BE49-F238E27FC236}">
              <a16:creationId xmlns:a16="http://schemas.microsoft.com/office/drawing/2014/main" id="{F8738753-DD73-4505-8146-93A2093F063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1" name="TextBox 2670">
          <a:extLst>
            <a:ext uri="{FF2B5EF4-FFF2-40B4-BE49-F238E27FC236}">
              <a16:creationId xmlns:a16="http://schemas.microsoft.com/office/drawing/2014/main" id="{3D10CF51-5FEE-44F6-BAC8-FD53BE49DF8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2" name="TextBox 1">
          <a:extLst>
            <a:ext uri="{FF2B5EF4-FFF2-40B4-BE49-F238E27FC236}">
              <a16:creationId xmlns:a16="http://schemas.microsoft.com/office/drawing/2014/main" id="{55BDED10-BE5B-4C56-872A-CF8583685A4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3" name="TextBox 1">
          <a:extLst>
            <a:ext uri="{FF2B5EF4-FFF2-40B4-BE49-F238E27FC236}">
              <a16:creationId xmlns:a16="http://schemas.microsoft.com/office/drawing/2014/main" id="{44E94992-5329-4F7E-BDA7-1AF2F0960A2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4" name="TextBox 2673">
          <a:extLst>
            <a:ext uri="{FF2B5EF4-FFF2-40B4-BE49-F238E27FC236}">
              <a16:creationId xmlns:a16="http://schemas.microsoft.com/office/drawing/2014/main" id="{FB0F6FAD-90CB-4D54-9E48-75FEB212AD0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5" name="TextBox 2674">
          <a:extLst>
            <a:ext uri="{FF2B5EF4-FFF2-40B4-BE49-F238E27FC236}">
              <a16:creationId xmlns:a16="http://schemas.microsoft.com/office/drawing/2014/main" id="{D3295FC5-6358-4E33-8433-8D69D90BAD8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6" name="TextBox 1">
          <a:extLst>
            <a:ext uri="{FF2B5EF4-FFF2-40B4-BE49-F238E27FC236}">
              <a16:creationId xmlns:a16="http://schemas.microsoft.com/office/drawing/2014/main" id="{FB6A7366-1BB7-4823-B7C8-3445F346D22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7" name="TextBox 1">
          <a:extLst>
            <a:ext uri="{FF2B5EF4-FFF2-40B4-BE49-F238E27FC236}">
              <a16:creationId xmlns:a16="http://schemas.microsoft.com/office/drawing/2014/main" id="{2EC95C01-53D9-4136-B4E0-BD66A854227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8" name="TextBox 2677">
          <a:extLst>
            <a:ext uri="{FF2B5EF4-FFF2-40B4-BE49-F238E27FC236}">
              <a16:creationId xmlns:a16="http://schemas.microsoft.com/office/drawing/2014/main" id="{A01A6699-79B6-44D9-BA36-2FDA696BF41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9" name="TextBox 2678">
          <a:extLst>
            <a:ext uri="{FF2B5EF4-FFF2-40B4-BE49-F238E27FC236}">
              <a16:creationId xmlns:a16="http://schemas.microsoft.com/office/drawing/2014/main" id="{D8148211-C262-4F85-A304-636589FC99E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0" name="TextBox 2679">
          <a:extLst>
            <a:ext uri="{FF2B5EF4-FFF2-40B4-BE49-F238E27FC236}">
              <a16:creationId xmlns:a16="http://schemas.microsoft.com/office/drawing/2014/main" id="{BEE70F81-9A16-4440-A73B-FA5AB2C4112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1" name="TextBox 1">
          <a:extLst>
            <a:ext uri="{FF2B5EF4-FFF2-40B4-BE49-F238E27FC236}">
              <a16:creationId xmlns:a16="http://schemas.microsoft.com/office/drawing/2014/main" id="{5C8924D7-C035-4E47-9B3C-4319D83A817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2" name="TextBox 1">
          <a:extLst>
            <a:ext uri="{FF2B5EF4-FFF2-40B4-BE49-F238E27FC236}">
              <a16:creationId xmlns:a16="http://schemas.microsoft.com/office/drawing/2014/main" id="{69EB14C5-BB9D-4933-985A-E4E4BBFE95D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3" name="TextBox 2682">
          <a:extLst>
            <a:ext uri="{FF2B5EF4-FFF2-40B4-BE49-F238E27FC236}">
              <a16:creationId xmlns:a16="http://schemas.microsoft.com/office/drawing/2014/main" id="{281FA856-8EA0-427F-BF46-4728C3FB6E6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4" name="TextBox 2683">
          <a:extLst>
            <a:ext uri="{FF2B5EF4-FFF2-40B4-BE49-F238E27FC236}">
              <a16:creationId xmlns:a16="http://schemas.microsoft.com/office/drawing/2014/main" id="{49159344-D55D-439E-A13B-8EED7F2E974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5" name="TextBox 1">
          <a:extLst>
            <a:ext uri="{FF2B5EF4-FFF2-40B4-BE49-F238E27FC236}">
              <a16:creationId xmlns:a16="http://schemas.microsoft.com/office/drawing/2014/main" id="{D5350CBE-0EE3-4C23-BA04-A45DDED113D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6" name="TextBox 1">
          <a:extLst>
            <a:ext uri="{FF2B5EF4-FFF2-40B4-BE49-F238E27FC236}">
              <a16:creationId xmlns:a16="http://schemas.microsoft.com/office/drawing/2014/main" id="{610AA6F0-64C0-4201-8347-4613510F7D7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7" name="TextBox 2686">
          <a:extLst>
            <a:ext uri="{FF2B5EF4-FFF2-40B4-BE49-F238E27FC236}">
              <a16:creationId xmlns:a16="http://schemas.microsoft.com/office/drawing/2014/main" id="{F1055337-7999-4526-981A-1CD91846056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8" name="TextBox 2687">
          <a:extLst>
            <a:ext uri="{FF2B5EF4-FFF2-40B4-BE49-F238E27FC236}">
              <a16:creationId xmlns:a16="http://schemas.microsoft.com/office/drawing/2014/main" id="{163975E5-20FD-4367-93B9-CA3E61AD339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9" name="TextBox 1">
          <a:extLst>
            <a:ext uri="{FF2B5EF4-FFF2-40B4-BE49-F238E27FC236}">
              <a16:creationId xmlns:a16="http://schemas.microsoft.com/office/drawing/2014/main" id="{E17685F5-50C6-4331-8069-7EE16C875EE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0" name="TextBox 1">
          <a:extLst>
            <a:ext uri="{FF2B5EF4-FFF2-40B4-BE49-F238E27FC236}">
              <a16:creationId xmlns:a16="http://schemas.microsoft.com/office/drawing/2014/main" id="{B5FA744F-0C92-4089-9469-BD9C0FD5B66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1" name="TextBox 2690">
          <a:extLst>
            <a:ext uri="{FF2B5EF4-FFF2-40B4-BE49-F238E27FC236}">
              <a16:creationId xmlns:a16="http://schemas.microsoft.com/office/drawing/2014/main" id="{A1FAAE5A-5007-402D-AD77-CF51D28C0EA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2" name="TextBox 2691">
          <a:extLst>
            <a:ext uri="{FF2B5EF4-FFF2-40B4-BE49-F238E27FC236}">
              <a16:creationId xmlns:a16="http://schemas.microsoft.com/office/drawing/2014/main" id="{D147004F-F197-4BE0-9F4A-E4313DE6132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3" name="TextBox 1">
          <a:extLst>
            <a:ext uri="{FF2B5EF4-FFF2-40B4-BE49-F238E27FC236}">
              <a16:creationId xmlns:a16="http://schemas.microsoft.com/office/drawing/2014/main" id="{28CE4E99-EC11-4191-81E2-F79F04F9C75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4" name="TextBox 1">
          <a:extLst>
            <a:ext uri="{FF2B5EF4-FFF2-40B4-BE49-F238E27FC236}">
              <a16:creationId xmlns:a16="http://schemas.microsoft.com/office/drawing/2014/main" id="{579C1706-4A66-4564-A587-4AD401454AE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5" name="TextBox 2694">
          <a:extLst>
            <a:ext uri="{FF2B5EF4-FFF2-40B4-BE49-F238E27FC236}">
              <a16:creationId xmlns:a16="http://schemas.microsoft.com/office/drawing/2014/main" id="{9F960DE3-E896-4203-B4C9-F1B78E708DC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6" name="TextBox 2695">
          <a:extLst>
            <a:ext uri="{FF2B5EF4-FFF2-40B4-BE49-F238E27FC236}">
              <a16:creationId xmlns:a16="http://schemas.microsoft.com/office/drawing/2014/main" id="{4A90D7E8-46C7-4F1D-A603-74D03E415BD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7" name="TextBox 1">
          <a:extLst>
            <a:ext uri="{FF2B5EF4-FFF2-40B4-BE49-F238E27FC236}">
              <a16:creationId xmlns:a16="http://schemas.microsoft.com/office/drawing/2014/main" id="{F20321EF-6310-40E8-AB21-F93942C86D9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8" name="TextBox 1">
          <a:extLst>
            <a:ext uri="{FF2B5EF4-FFF2-40B4-BE49-F238E27FC236}">
              <a16:creationId xmlns:a16="http://schemas.microsoft.com/office/drawing/2014/main" id="{D08300B1-3340-4842-B5D1-569830B9E8B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9" name="TextBox 2698">
          <a:extLst>
            <a:ext uri="{FF2B5EF4-FFF2-40B4-BE49-F238E27FC236}">
              <a16:creationId xmlns:a16="http://schemas.microsoft.com/office/drawing/2014/main" id="{34513C04-A6B4-41FE-8D50-799FC491B5A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0" name="TextBox 2699">
          <a:extLst>
            <a:ext uri="{FF2B5EF4-FFF2-40B4-BE49-F238E27FC236}">
              <a16:creationId xmlns:a16="http://schemas.microsoft.com/office/drawing/2014/main" id="{91A78B36-C5D9-4E95-BBFF-A9D6BE48521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1" name="TextBox 1">
          <a:extLst>
            <a:ext uri="{FF2B5EF4-FFF2-40B4-BE49-F238E27FC236}">
              <a16:creationId xmlns:a16="http://schemas.microsoft.com/office/drawing/2014/main" id="{A4584437-65BD-4692-8993-3CD1CB2C61C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2" name="TextBox 1">
          <a:extLst>
            <a:ext uri="{FF2B5EF4-FFF2-40B4-BE49-F238E27FC236}">
              <a16:creationId xmlns:a16="http://schemas.microsoft.com/office/drawing/2014/main" id="{6ED253DC-0D28-41E6-B84A-D4A55F58367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3" name="TextBox 2702">
          <a:extLst>
            <a:ext uri="{FF2B5EF4-FFF2-40B4-BE49-F238E27FC236}">
              <a16:creationId xmlns:a16="http://schemas.microsoft.com/office/drawing/2014/main" id="{EE59EDA4-CD74-42D3-8A6A-921A3A59E2D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4" name="TextBox 2703">
          <a:extLst>
            <a:ext uri="{FF2B5EF4-FFF2-40B4-BE49-F238E27FC236}">
              <a16:creationId xmlns:a16="http://schemas.microsoft.com/office/drawing/2014/main" id="{5B1311E9-26B1-4E0B-888C-18E2C190527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5" name="TextBox 1">
          <a:extLst>
            <a:ext uri="{FF2B5EF4-FFF2-40B4-BE49-F238E27FC236}">
              <a16:creationId xmlns:a16="http://schemas.microsoft.com/office/drawing/2014/main" id="{B42F5BFF-EAE4-409C-AA1E-B3200245C70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6" name="TextBox 1">
          <a:extLst>
            <a:ext uri="{FF2B5EF4-FFF2-40B4-BE49-F238E27FC236}">
              <a16:creationId xmlns:a16="http://schemas.microsoft.com/office/drawing/2014/main" id="{D58711DE-5B39-44EF-81B5-F9C2D3A9106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7" name="TextBox 2706">
          <a:extLst>
            <a:ext uri="{FF2B5EF4-FFF2-40B4-BE49-F238E27FC236}">
              <a16:creationId xmlns:a16="http://schemas.microsoft.com/office/drawing/2014/main" id="{22D963F2-119C-409E-A724-42437D0D333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8" name="TextBox 2707">
          <a:extLst>
            <a:ext uri="{FF2B5EF4-FFF2-40B4-BE49-F238E27FC236}">
              <a16:creationId xmlns:a16="http://schemas.microsoft.com/office/drawing/2014/main" id="{9E51438F-988E-4FAA-ACCB-339192BAD61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9" name="TextBox 1">
          <a:extLst>
            <a:ext uri="{FF2B5EF4-FFF2-40B4-BE49-F238E27FC236}">
              <a16:creationId xmlns:a16="http://schemas.microsoft.com/office/drawing/2014/main" id="{F6874125-BA25-4B73-AA26-D1809D19289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0" name="TextBox 1">
          <a:extLst>
            <a:ext uri="{FF2B5EF4-FFF2-40B4-BE49-F238E27FC236}">
              <a16:creationId xmlns:a16="http://schemas.microsoft.com/office/drawing/2014/main" id="{E7DC2327-9D52-485B-B6D9-8E6B5A265C1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1" name="TextBox 2710">
          <a:extLst>
            <a:ext uri="{FF2B5EF4-FFF2-40B4-BE49-F238E27FC236}">
              <a16:creationId xmlns:a16="http://schemas.microsoft.com/office/drawing/2014/main" id="{74EDCB2C-B9F4-4D7D-9C02-5798BCDD9C3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2" name="TextBox 2711">
          <a:extLst>
            <a:ext uri="{FF2B5EF4-FFF2-40B4-BE49-F238E27FC236}">
              <a16:creationId xmlns:a16="http://schemas.microsoft.com/office/drawing/2014/main" id="{8EF08293-860B-415B-BD11-16B89D6795E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3" name="TextBox 1">
          <a:extLst>
            <a:ext uri="{FF2B5EF4-FFF2-40B4-BE49-F238E27FC236}">
              <a16:creationId xmlns:a16="http://schemas.microsoft.com/office/drawing/2014/main" id="{5FBC28E6-BF63-4A85-BC0C-9AD689CD03C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4" name="TextBox 1">
          <a:extLst>
            <a:ext uri="{FF2B5EF4-FFF2-40B4-BE49-F238E27FC236}">
              <a16:creationId xmlns:a16="http://schemas.microsoft.com/office/drawing/2014/main" id="{0DB13A12-D291-4897-B2A1-4792421E824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5" name="TextBox 2714">
          <a:extLst>
            <a:ext uri="{FF2B5EF4-FFF2-40B4-BE49-F238E27FC236}">
              <a16:creationId xmlns:a16="http://schemas.microsoft.com/office/drawing/2014/main" id="{DECC890E-FAA6-4BCC-B6EF-9BFBFC6D87F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6" name="TextBox 2715">
          <a:extLst>
            <a:ext uri="{FF2B5EF4-FFF2-40B4-BE49-F238E27FC236}">
              <a16:creationId xmlns:a16="http://schemas.microsoft.com/office/drawing/2014/main" id="{28ECB6E5-0E57-4F84-B9DE-9ED8CF79D3F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7" name="TextBox 2716">
          <a:extLst>
            <a:ext uri="{FF2B5EF4-FFF2-40B4-BE49-F238E27FC236}">
              <a16:creationId xmlns:a16="http://schemas.microsoft.com/office/drawing/2014/main" id="{4A10F550-A353-43F4-A88F-6EEB6308D9D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8" name="TextBox 1">
          <a:extLst>
            <a:ext uri="{FF2B5EF4-FFF2-40B4-BE49-F238E27FC236}">
              <a16:creationId xmlns:a16="http://schemas.microsoft.com/office/drawing/2014/main" id="{29E7EE35-FFD1-4B9F-A5C7-8CBE7108C91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9" name="TextBox 1">
          <a:extLst>
            <a:ext uri="{FF2B5EF4-FFF2-40B4-BE49-F238E27FC236}">
              <a16:creationId xmlns:a16="http://schemas.microsoft.com/office/drawing/2014/main" id="{CF207B56-2CAC-45A1-9ACA-6480856A40F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0" name="TextBox 2719">
          <a:extLst>
            <a:ext uri="{FF2B5EF4-FFF2-40B4-BE49-F238E27FC236}">
              <a16:creationId xmlns:a16="http://schemas.microsoft.com/office/drawing/2014/main" id="{07C69AC5-6932-4CEC-8A0B-35D7CFFD2EC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1" name="TextBox 2720">
          <a:extLst>
            <a:ext uri="{FF2B5EF4-FFF2-40B4-BE49-F238E27FC236}">
              <a16:creationId xmlns:a16="http://schemas.microsoft.com/office/drawing/2014/main" id="{0FC523A2-2BA1-4EC2-86F7-1F1DA178C5B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2" name="TextBox 1">
          <a:extLst>
            <a:ext uri="{FF2B5EF4-FFF2-40B4-BE49-F238E27FC236}">
              <a16:creationId xmlns:a16="http://schemas.microsoft.com/office/drawing/2014/main" id="{758BB3A7-D190-409A-B082-4B87EF3C736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3" name="TextBox 1">
          <a:extLst>
            <a:ext uri="{FF2B5EF4-FFF2-40B4-BE49-F238E27FC236}">
              <a16:creationId xmlns:a16="http://schemas.microsoft.com/office/drawing/2014/main" id="{F4AC3DD4-72B1-418F-A8BC-E4CA983D451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4" name="TextBox 2723">
          <a:extLst>
            <a:ext uri="{FF2B5EF4-FFF2-40B4-BE49-F238E27FC236}">
              <a16:creationId xmlns:a16="http://schemas.microsoft.com/office/drawing/2014/main" id="{D2F78F8C-22AB-4CF2-AF79-B93D9E6F3D7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5" name="TextBox 2724">
          <a:extLst>
            <a:ext uri="{FF2B5EF4-FFF2-40B4-BE49-F238E27FC236}">
              <a16:creationId xmlns:a16="http://schemas.microsoft.com/office/drawing/2014/main" id="{55BD36F4-0E24-45E2-9B31-7336804F80F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6" name="TextBox 1">
          <a:extLst>
            <a:ext uri="{FF2B5EF4-FFF2-40B4-BE49-F238E27FC236}">
              <a16:creationId xmlns:a16="http://schemas.microsoft.com/office/drawing/2014/main" id="{7E1756F9-23B7-4C6D-834D-1B5F13C5A14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7" name="TextBox 1">
          <a:extLst>
            <a:ext uri="{FF2B5EF4-FFF2-40B4-BE49-F238E27FC236}">
              <a16:creationId xmlns:a16="http://schemas.microsoft.com/office/drawing/2014/main" id="{C426F04F-724D-4C6E-A237-8E95F743FD6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8" name="TextBox 2727">
          <a:extLst>
            <a:ext uri="{FF2B5EF4-FFF2-40B4-BE49-F238E27FC236}">
              <a16:creationId xmlns:a16="http://schemas.microsoft.com/office/drawing/2014/main" id="{094394A3-03C1-4E41-BB54-21B83478EE9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9" name="TextBox 2728">
          <a:extLst>
            <a:ext uri="{FF2B5EF4-FFF2-40B4-BE49-F238E27FC236}">
              <a16:creationId xmlns:a16="http://schemas.microsoft.com/office/drawing/2014/main" id="{B76C2F6D-9D57-4340-AF27-9B95D4CC639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0" name="TextBox 1">
          <a:extLst>
            <a:ext uri="{FF2B5EF4-FFF2-40B4-BE49-F238E27FC236}">
              <a16:creationId xmlns:a16="http://schemas.microsoft.com/office/drawing/2014/main" id="{63D04DBA-186F-4A0E-BEE4-3327CB5DA24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1" name="TextBox 1">
          <a:extLst>
            <a:ext uri="{FF2B5EF4-FFF2-40B4-BE49-F238E27FC236}">
              <a16:creationId xmlns:a16="http://schemas.microsoft.com/office/drawing/2014/main" id="{AEE6BA7A-7CDB-47C0-9D2F-A74753710A2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2" name="TextBox 2731">
          <a:extLst>
            <a:ext uri="{FF2B5EF4-FFF2-40B4-BE49-F238E27FC236}">
              <a16:creationId xmlns:a16="http://schemas.microsoft.com/office/drawing/2014/main" id="{5BB97877-587B-43AF-8D91-BD120633FE7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3" name="TextBox 2732">
          <a:extLst>
            <a:ext uri="{FF2B5EF4-FFF2-40B4-BE49-F238E27FC236}">
              <a16:creationId xmlns:a16="http://schemas.microsoft.com/office/drawing/2014/main" id="{B8B59B23-99D1-4E3D-8C05-75F02990257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4" name="TextBox 1">
          <a:extLst>
            <a:ext uri="{FF2B5EF4-FFF2-40B4-BE49-F238E27FC236}">
              <a16:creationId xmlns:a16="http://schemas.microsoft.com/office/drawing/2014/main" id="{6190E1B2-E381-461D-A696-DC46A6AD158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5" name="TextBox 1">
          <a:extLst>
            <a:ext uri="{FF2B5EF4-FFF2-40B4-BE49-F238E27FC236}">
              <a16:creationId xmlns:a16="http://schemas.microsoft.com/office/drawing/2014/main" id="{7AA8CAE0-4297-4A99-8966-04CADDC4803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6" name="TextBox 2735">
          <a:extLst>
            <a:ext uri="{FF2B5EF4-FFF2-40B4-BE49-F238E27FC236}">
              <a16:creationId xmlns:a16="http://schemas.microsoft.com/office/drawing/2014/main" id="{1594A9A2-542D-475F-9D36-3C66CAAE580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7" name="TextBox 2736">
          <a:extLst>
            <a:ext uri="{FF2B5EF4-FFF2-40B4-BE49-F238E27FC236}">
              <a16:creationId xmlns:a16="http://schemas.microsoft.com/office/drawing/2014/main" id="{1AEC36E3-FA59-4E1D-B740-E08FB86E668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8" name="TextBox 1">
          <a:extLst>
            <a:ext uri="{FF2B5EF4-FFF2-40B4-BE49-F238E27FC236}">
              <a16:creationId xmlns:a16="http://schemas.microsoft.com/office/drawing/2014/main" id="{DC01F5DE-F8F1-4866-B0E7-BD37F2B6790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9" name="TextBox 1">
          <a:extLst>
            <a:ext uri="{FF2B5EF4-FFF2-40B4-BE49-F238E27FC236}">
              <a16:creationId xmlns:a16="http://schemas.microsoft.com/office/drawing/2014/main" id="{A1C93DFF-340F-45A4-8B9B-9D8ADD92030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0" name="TextBox 2739">
          <a:extLst>
            <a:ext uri="{FF2B5EF4-FFF2-40B4-BE49-F238E27FC236}">
              <a16:creationId xmlns:a16="http://schemas.microsoft.com/office/drawing/2014/main" id="{B6310902-0FCF-43FD-8B04-0B21BA3F38A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1" name="TextBox 2740">
          <a:extLst>
            <a:ext uri="{FF2B5EF4-FFF2-40B4-BE49-F238E27FC236}">
              <a16:creationId xmlns:a16="http://schemas.microsoft.com/office/drawing/2014/main" id="{5F7C99EC-F7D9-4192-ADE2-A5AEFCC90FA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2" name="TextBox 1">
          <a:extLst>
            <a:ext uri="{FF2B5EF4-FFF2-40B4-BE49-F238E27FC236}">
              <a16:creationId xmlns:a16="http://schemas.microsoft.com/office/drawing/2014/main" id="{F45E98C5-A0F3-47A0-BC73-C8E38CE3D3B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3" name="TextBox 1">
          <a:extLst>
            <a:ext uri="{FF2B5EF4-FFF2-40B4-BE49-F238E27FC236}">
              <a16:creationId xmlns:a16="http://schemas.microsoft.com/office/drawing/2014/main" id="{60ADD80D-3E7A-4E32-83AF-8845841A20E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4" name="TextBox 2743">
          <a:extLst>
            <a:ext uri="{FF2B5EF4-FFF2-40B4-BE49-F238E27FC236}">
              <a16:creationId xmlns:a16="http://schemas.microsoft.com/office/drawing/2014/main" id="{EA53AC04-1956-4293-9B14-0C3511B7EC4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5" name="TextBox 2744">
          <a:extLst>
            <a:ext uri="{FF2B5EF4-FFF2-40B4-BE49-F238E27FC236}">
              <a16:creationId xmlns:a16="http://schemas.microsoft.com/office/drawing/2014/main" id="{A01D722C-A76C-4D4D-93B0-14B22C2CFF4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6" name="TextBox 1">
          <a:extLst>
            <a:ext uri="{FF2B5EF4-FFF2-40B4-BE49-F238E27FC236}">
              <a16:creationId xmlns:a16="http://schemas.microsoft.com/office/drawing/2014/main" id="{00A65B71-E70B-430C-8447-A30DA1577CA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7" name="TextBox 1">
          <a:extLst>
            <a:ext uri="{FF2B5EF4-FFF2-40B4-BE49-F238E27FC236}">
              <a16:creationId xmlns:a16="http://schemas.microsoft.com/office/drawing/2014/main" id="{C91D2E60-11ED-4E51-B338-CF76D462D31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8" name="TextBox 2747">
          <a:extLst>
            <a:ext uri="{FF2B5EF4-FFF2-40B4-BE49-F238E27FC236}">
              <a16:creationId xmlns:a16="http://schemas.microsoft.com/office/drawing/2014/main" id="{AB9AC88F-679E-4830-A52F-0A00805BBC9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9" name="TextBox 2748">
          <a:extLst>
            <a:ext uri="{FF2B5EF4-FFF2-40B4-BE49-F238E27FC236}">
              <a16:creationId xmlns:a16="http://schemas.microsoft.com/office/drawing/2014/main" id="{5F31ED52-5058-4739-AEF8-0DAEFF17E55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0" name="TextBox 1">
          <a:extLst>
            <a:ext uri="{FF2B5EF4-FFF2-40B4-BE49-F238E27FC236}">
              <a16:creationId xmlns:a16="http://schemas.microsoft.com/office/drawing/2014/main" id="{770916A9-307D-44FA-816A-D0979FD3C48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1" name="TextBox 1">
          <a:extLst>
            <a:ext uri="{FF2B5EF4-FFF2-40B4-BE49-F238E27FC236}">
              <a16:creationId xmlns:a16="http://schemas.microsoft.com/office/drawing/2014/main" id="{476F633A-2712-4A93-B41A-5357A9550AC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2" name="TextBox 2751">
          <a:extLst>
            <a:ext uri="{FF2B5EF4-FFF2-40B4-BE49-F238E27FC236}">
              <a16:creationId xmlns:a16="http://schemas.microsoft.com/office/drawing/2014/main" id="{B7AC5952-A946-4A67-9565-7831C62688F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3" name="TextBox 2752">
          <a:extLst>
            <a:ext uri="{FF2B5EF4-FFF2-40B4-BE49-F238E27FC236}">
              <a16:creationId xmlns:a16="http://schemas.microsoft.com/office/drawing/2014/main" id="{F4053A1A-4EB0-44B8-8A45-A63D92C3330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4" name="TextBox 1">
          <a:extLst>
            <a:ext uri="{FF2B5EF4-FFF2-40B4-BE49-F238E27FC236}">
              <a16:creationId xmlns:a16="http://schemas.microsoft.com/office/drawing/2014/main" id="{2E36BA30-EAC3-4EE2-8594-210F09A839D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5" name="TextBox 1">
          <a:extLst>
            <a:ext uri="{FF2B5EF4-FFF2-40B4-BE49-F238E27FC236}">
              <a16:creationId xmlns:a16="http://schemas.microsoft.com/office/drawing/2014/main" id="{4484EDD8-BF5A-4321-B8D3-F4220599388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6" name="TextBox 2755">
          <a:extLst>
            <a:ext uri="{FF2B5EF4-FFF2-40B4-BE49-F238E27FC236}">
              <a16:creationId xmlns:a16="http://schemas.microsoft.com/office/drawing/2014/main" id="{9D75F62B-9AA0-47A7-A727-53575722C6F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7" name="TextBox 2756">
          <a:extLst>
            <a:ext uri="{FF2B5EF4-FFF2-40B4-BE49-F238E27FC236}">
              <a16:creationId xmlns:a16="http://schemas.microsoft.com/office/drawing/2014/main" id="{11D1EC74-3F0D-4123-B7DE-4335C6BB3FF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8" name="TextBox 1">
          <a:extLst>
            <a:ext uri="{FF2B5EF4-FFF2-40B4-BE49-F238E27FC236}">
              <a16:creationId xmlns:a16="http://schemas.microsoft.com/office/drawing/2014/main" id="{520FF084-87B5-405B-82DE-FF34FE5DFD7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9" name="TextBox 1">
          <a:extLst>
            <a:ext uri="{FF2B5EF4-FFF2-40B4-BE49-F238E27FC236}">
              <a16:creationId xmlns:a16="http://schemas.microsoft.com/office/drawing/2014/main" id="{BF53BE39-8AA8-4D22-931E-4D9B7D13696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0" name="TextBox 2759">
          <a:extLst>
            <a:ext uri="{FF2B5EF4-FFF2-40B4-BE49-F238E27FC236}">
              <a16:creationId xmlns:a16="http://schemas.microsoft.com/office/drawing/2014/main" id="{7033E436-B1D2-4C05-A4CB-8608C09F40C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1" name="TextBox 2760">
          <a:extLst>
            <a:ext uri="{FF2B5EF4-FFF2-40B4-BE49-F238E27FC236}">
              <a16:creationId xmlns:a16="http://schemas.microsoft.com/office/drawing/2014/main" id="{2B12F415-813A-4B52-936A-38B9FC40BFE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2" name="TextBox 2761">
          <a:extLst>
            <a:ext uri="{FF2B5EF4-FFF2-40B4-BE49-F238E27FC236}">
              <a16:creationId xmlns:a16="http://schemas.microsoft.com/office/drawing/2014/main" id="{732217CF-952C-48DC-8A1F-26FE04554DA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3" name="TextBox 1">
          <a:extLst>
            <a:ext uri="{FF2B5EF4-FFF2-40B4-BE49-F238E27FC236}">
              <a16:creationId xmlns:a16="http://schemas.microsoft.com/office/drawing/2014/main" id="{3DCC6B34-BF6A-4D87-8CEC-3A97766FC86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4" name="TextBox 1">
          <a:extLst>
            <a:ext uri="{FF2B5EF4-FFF2-40B4-BE49-F238E27FC236}">
              <a16:creationId xmlns:a16="http://schemas.microsoft.com/office/drawing/2014/main" id="{92D81C36-9F24-4504-A816-BEFE1F40FC5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5" name="TextBox 2764">
          <a:extLst>
            <a:ext uri="{FF2B5EF4-FFF2-40B4-BE49-F238E27FC236}">
              <a16:creationId xmlns:a16="http://schemas.microsoft.com/office/drawing/2014/main" id="{EC008C44-2A96-4600-9BCB-5D065B20ADB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6" name="TextBox 2765">
          <a:extLst>
            <a:ext uri="{FF2B5EF4-FFF2-40B4-BE49-F238E27FC236}">
              <a16:creationId xmlns:a16="http://schemas.microsoft.com/office/drawing/2014/main" id="{6D5F0B66-5D59-47B5-8670-D1E12F0FCF6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7" name="TextBox 1">
          <a:extLst>
            <a:ext uri="{FF2B5EF4-FFF2-40B4-BE49-F238E27FC236}">
              <a16:creationId xmlns:a16="http://schemas.microsoft.com/office/drawing/2014/main" id="{59712F41-E8A0-4CB7-A00C-87CA3C46E65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8" name="TextBox 1">
          <a:extLst>
            <a:ext uri="{FF2B5EF4-FFF2-40B4-BE49-F238E27FC236}">
              <a16:creationId xmlns:a16="http://schemas.microsoft.com/office/drawing/2014/main" id="{1E27FA24-221C-4323-8BD5-475424C4173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9" name="TextBox 2768">
          <a:extLst>
            <a:ext uri="{FF2B5EF4-FFF2-40B4-BE49-F238E27FC236}">
              <a16:creationId xmlns:a16="http://schemas.microsoft.com/office/drawing/2014/main" id="{5107B07C-4903-47C6-93DC-798AA195926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0" name="TextBox 2769">
          <a:extLst>
            <a:ext uri="{FF2B5EF4-FFF2-40B4-BE49-F238E27FC236}">
              <a16:creationId xmlns:a16="http://schemas.microsoft.com/office/drawing/2014/main" id="{C0BA6B62-87E0-4360-8889-58B1E508D83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1" name="TextBox 1">
          <a:extLst>
            <a:ext uri="{FF2B5EF4-FFF2-40B4-BE49-F238E27FC236}">
              <a16:creationId xmlns:a16="http://schemas.microsoft.com/office/drawing/2014/main" id="{BAE51B06-7F48-4CF9-8712-3194AA60AC8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2" name="TextBox 1">
          <a:extLst>
            <a:ext uri="{FF2B5EF4-FFF2-40B4-BE49-F238E27FC236}">
              <a16:creationId xmlns:a16="http://schemas.microsoft.com/office/drawing/2014/main" id="{05741A0C-223A-49C0-AEFB-7D1B3D0056C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3" name="TextBox 2772">
          <a:extLst>
            <a:ext uri="{FF2B5EF4-FFF2-40B4-BE49-F238E27FC236}">
              <a16:creationId xmlns:a16="http://schemas.microsoft.com/office/drawing/2014/main" id="{85976D00-1995-41D7-B72B-5631FA15D93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4" name="TextBox 2773">
          <a:extLst>
            <a:ext uri="{FF2B5EF4-FFF2-40B4-BE49-F238E27FC236}">
              <a16:creationId xmlns:a16="http://schemas.microsoft.com/office/drawing/2014/main" id="{0290F6BB-3BF1-44F8-8101-7DCFB096257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5" name="TextBox 1">
          <a:extLst>
            <a:ext uri="{FF2B5EF4-FFF2-40B4-BE49-F238E27FC236}">
              <a16:creationId xmlns:a16="http://schemas.microsoft.com/office/drawing/2014/main" id="{446BD63B-2213-4CB5-8FAF-87C1F867998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6" name="TextBox 1">
          <a:extLst>
            <a:ext uri="{FF2B5EF4-FFF2-40B4-BE49-F238E27FC236}">
              <a16:creationId xmlns:a16="http://schemas.microsoft.com/office/drawing/2014/main" id="{B079CF7A-1BBC-4C54-847F-4BFDD75A550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7" name="TextBox 2776">
          <a:extLst>
            <a:ext uri="{FF2B5EF4-FFF2-40B4-BE49-F238E27FC236}">
              <a16:creationId xmlns:a16="http://schemas.microsoft.com/office/drawing/2014/main" id="{AF39CD05-6663-4ACC-A72C-5C66EEC4C25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8" name="TextBox 2777">
          <a:extLst>
            <a:ext uri="{FF2B5EF4-FFF2-40B4-BE49-F238E27FC236}">
              <a16:creationId xmlns:a16="http://schemas.microsoft.com/office/drawing/2014/main" id="{4756D888-302C-4CD9-AC02-A516083EA3D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9" name="TextBox 1">
          <a:extLst>
            <a:ext uri="{FF2B5EF4-FFF2-40B4-BE49-F238E27FC236}">
              <a16:creationId xmlns:a16="http://schemas.microsoft.com/office/drawing/2014/main" id="{9F32A1A9-EF53-411F-9070-3BA890B4E69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0" name="TextBox 1">
          <a:extLst>
            <a:ext uri="{FF2B5EF4-FFF2-40B4-BE49-F238E27FC236}">
              <a16:creationId xmlns:a16="http://schemas.microsoft.com/office/drawing/2014/main" id="{9ADC8AB3-426B-445D-9B11-7886390333F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1" name="TextBox 2780">
          <a:extLst>
            <a:ext uri="{FF2B5EF4-FFF2-40B4-BE49-F238E27FC236}">
              <a16:creationId xmlns:a16="http://schemas.microsoft.com/office/drawing/2014/main" id="{AA93C5F3-8CF8-40C4-9AB4-3336D4157C0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2" name="TextBox 2781">
          <a:extLst>
            <a:ext uri="{FF2B5EF4-FFF2-40B4-BE49-F238E27FC236}">
              <a16:creationId xmlns:a16="http://schemas.microsoft.com/office/drawing/2014/main" id="{7DC2A41B-C797-4DC9-8572-1BDB82B4E40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3" name="TextBox 1">
          <a:extLst>
            <a:ext uri="{FF2B5EF4-FFF2-40B4-BE49-F238E27FC236}">
              <a16:creationId xmlns:a16="http://schemas.microsoft.com/office/drawing/2014/main" id="{623CDB4D-386C-49CE-87BE-607FB728DB9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4" name="TextBox 1">
          <a:extLst>
            <a:ext uri="{FF2B5EF4-FFF2-40B4-BE49-F238E27FC236}">
              <a16:creationId xmlns:a16="http://schemas.microsoft.com/office/drawing/2014/main" id="{4F49767E-1F83-4FE5-A9F2-553F934A1BA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5" name="TextBox 2784">
          <a:extLst>
            <a:ext uri="{FF2B5EF4-FFF2-40B4-BE49-F238E27FC236}">
              <a16:creationId xmlns:a16="http://schemas.microsoft.com/office/drawing/2014/main" id="{CF777D03-BEB9-4E6B-8B1F-0FCE58EDC1B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6" name="TextBox 2785">
          <a:extLst>
            <a:ext uri="{FF2B5EF4-FFF2-40B4-BE49-F238E27FC236}">
              <a16:creationId xmlns:a16="http://schemas.microsoft.com/office/drawing/2014/main" id="{BB0E3FC5-A9DE-4575-9B3A-AAB16B53119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7" name="TextBox 1">
          <a:extLst>
            <a:ext uri="{FF2B5EF4-FFF2-40B4-BE49-F238E27FC236}">
              <a16:creationId xmlns:a16="http://schemas.microsoft.com/office/drawing/2014/main" id="{6E28E87D-C366-4CFE-92E6-010905DC333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8" name="TextBox 1">
          <a:extLst>
            <a:ext uri="{FF2B5EF4-FFF2-40B4-BE49-F238E27FC236}">
              <a16:creationId xmlns:a16="http://schemas.microsoft.com/office/drawing/2014/main" id="{37B6D1C7-06E2-420F-BDAE-CB3CA825C97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9" name="TextBox 2788">
          <a:extLst>
            <a:ext uri="{FF2B5EF4-FFF2-40B4-BE49-F238E27FC236}">
              <a16:creationId xmlns:a16="http://schemas.microsoft.com/office/drawing/2014/main" id="{BD4CDF64-50D1-4116-A0D7-E290D563471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0" name="TextBox 2789">
          <a:extLst>
            <a:ext uri="{FF2B5EF4-FFF2-40B4-BE49-F238E27FC236}">
              <a16:creationId xmlns:a16="http://schemas.microsoft.com/office/drawing/2014/main" id="{DF35CBC0-31BC-4B8B-BC55-A01FF54D911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1" name="TextBox 1">
          <a:extLst>
            <a:ext uri="{FF2B5EF4-FFF2-40B4-BE49-F238E27FC236}">
              <a16:creationId xmlns:a16="http://schemas.microsoft.com/office/drawing/2014/main" id="{39239529-C08E-4961-A55C-842B4E82927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2" name="TextBox 1">
          <a:extLst>
            <a:ext uri="{FF2B5EF4-FFF2-40B4-BE49-F238E27FC236}">
              <a16:creationId xmlns:a16="http://schemas.microsoft.com/office/drawing/2014/main" id="{AEAA926E-DAFC-4BF5-9CF2-90899987250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3" name="TextBox 2792">
          <a:extLst>
            <a:ext uri="{FF2B5EF4-FFF2-40B4-BE49-F238E27FC236}">
              <a16:creationId xmlns:a16="http://schemas.microsoft.com/office/drawing/2014/main" id="{DD7EC1F9-A5FE-416E-B7A0-D9ECBB4491B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4" name="TextBox 2793">
          <a:extLst>
            <a:ext uri="{FF2B5EF4-FFF2-40B4-BE49-F238E27FC236}">
              <a16:creationId xmlns:a16="http://schemas.microsoft.com/office/drawing/2014/main" id="{252B2A60-66D9-4274-98A6-44F97CFA057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5" name="TextBox 1">
          <a:extLst>
            <a:ext uri="{FF2B5EF4-FFF2-40B4-BE49-F238E27FC236}">
              <a16:creationId xmlns:a16="http://schemas.microsoft.com/office/drawing/2014/main" id="{480719E0-795F-4FE7-9E1D-C9DBCE1DE16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6" name="TextBox 1">
          <a:extLst>
            <a:ext uri="{FF2B5EF4-FFF2-40B4-BE49-F238E27FC236}">
              <a16:creationId xmlns:a16="http://schemas.microsoft.com/office/drawing/2014/main" id="{43ECF1F1-9531-4F13-B02A-02A94F4551C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7" name="TextBox 2796">
          <a:extLst>
            <a:ext uri="{FF2B5EF4-FFF2-40B4-BE49-F238E27FC236}">
              <a16:creationId xmlns:a16="http://schemas.microsoft.com/office/drawing/2014/main" id="{45D41F35-370D-4942-936D-540882C65E0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8" name="TextBox 1">
          <a:extLst>
            <a:ext uri="{FF2B5EF4-FFF2-40B4-BE49-F238E27FC236}">
              <a16:creationId xmlns:a16="http://schemas.microsoft.com/office/drawing/2014/main" id="{DD5DD1D1-CD52-4325-AD6D-747EFD659CA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9" name="TextBox 1">
          <a:extLst>
            <a:ext uri="{FF2B5EF4-FFF2-40B4-BE49-F238E27FC236}">
              <a16:creationId xmlns:a16="http://schemas.microsoft.com/office/drawing/2014/main" id="{3498C8C9-2EE4-4619-8633-62CB6BFE8C4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0" name="TextBox 2799">
          <a:extLst>
            <a:ext uri="{FF2B5EF4-FFF2-40B4-BE49-F238E27FC236}">
              <a16:creationId xmlns:a16="http://schemas.microsoft.com/office/drawing/2014/main" id="{C6C61F9C-E99B-4943-B888-3D73F986A68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1" name="TextBox 1">
          <a:extLst>
            <a:ext uri="{FF2B5EF4-FFF2-40B4-BE49-F238E27FC236}">
              <a16:creationId xmlns:a16="http://schemas.microsoft.com/office/drawing/2014/main" id="{98B4E214-3218-4072-A83A-F1A88913C1D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2" name="TextBox 2801">
          <a:extLst>
            <a:ext uri="{FF2B5EF4-FFF2-40B4-BE49-F238E27FC236}">
              <a16:creationId xmlns:a16="http://schemas.microsoft.com/office/drawing/2014/main" id="{B3639266-84AF-4DD2-B310-A0853C59F41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3" name="TextBox 1">
          <a:extLst>
            <a:ext uri="{FF2B5EF4-FFF2-40B4-BE49-F238E27FC236}">
              <a16:creationId xmlns:a16="http://schemas.microsoft.com/office/drawing/2014/main" id="{40BF74BB-F81B-4461-B0FA-B6830047808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4" name="TextBox 1">
          <a:extLst>
            <a:ext uri="{FF2B5EF4-FFF2-40B4-BE49-F238E27FC236}">
              <a16:creationId xmlns:a16="http://schemas.microsoft.com/office/drawing/2014/main" id="{218B0EA2-5AFB-426C-8675-C397EB58B0B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5" name="TextBox 2804">
          <a:extLst>
            <a:ext uri="{FF2B5EF4-FFF2-40B4-BE49-F238E27FC236}">
              <a16:creationId xmlns:a16="http://schemas.microsoft.com/office/drawing/2014/main" id="{710D22A7-675D-4AE8-8986-26086B58521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6" name="TextBox 2805">
          <a:extLst>
            <a:ext uri="{FF2B5EF4-FFF2-40B4-BE49-F238E27FC236}">
              <a16:creationId xmlns:a16="http://schemas.microsoft.com/office/drawing/2014/main" id="{B37B8869-CB64-46D6-B785-E1C374D2220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7" name="TextBox 1">
          <a:extLst>
            <a:ext uri="{FF2B5EF4-FFF2-40B4-BE49-F238E27FC236}">
              <a16:creationId xmlns:a16="http://schemas.microsoft.com/office/drawing/2014/main" id="{6F80250B-2303-4BEE-B768-5C6801003BB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8" name="TextBox 1">
          <a:extLst>
            <a:ext uri="{FF2B5EF4-FFF2-40B4-BE49-F238E27FC236}">
              <a16:creationId xmlns:a16="http://schemas.microsoft.com/office/drawing/2014/main" id="{937CB20C-411C-4DA5-AC31-FD958909E26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9" name="TextBox 2808">
          <a:extLst>
            <a:ext uri="{FF2B5EF4-FFF2-40B4-BE49-F238E27FC236}">
              <a16:creationId xmlns:a16="http://schemas.microsoft.com/office/drawing/2014/main" id="{958FDCC6-F1B1-4048-B6C0-18FB1C5A837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0" name="TextBox 2809">
          <a:extLst>
            <a:ext uri="{FF2B5EF4-FFF2-40B4-BE49-F238E27FC236}">
              <a16:creationId xmlns:a16="http://schemas.microsoft.com/office/drawing/2014/main" id="{7D15CB5A-AAC1-492A-AE82-E49100A0C6C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1" name="TextBox 2810">
          <a:extLst>
            <a:ext uri="{FF2B5EF4-FFF2-40B4-BE49-F238E27FC236}">
              <a16:creationId xmlns:a16="http://schemas.microsoft.com/office/drawing/2014/main" id="{B10CA98E-7007-4E93-9E21-33BB534E698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2" name="TextBox 1">
          <a:extLst>
            <a:ext uri="{FF2B5EF4-FFF2-40B4-BE49-F238E27FC236}">
              <a16:creationId xmlns:a16="http://schemas.microsoft.com/office/drawing/2014/main" id="{A4D1284F-455F-46D3-BA89-9AAFB25D68E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3" name="TextBox 1">
          <a:extLst>
            <a:ext uri="{FF2B5EF4-FFF2-40B4-BE49-F238E27FC236}">
              <a16:creationId xmlns:a16="http://schemas.microsoft.com/office/drawing/2014/main" id="{58786156-7D43-4B2D-9B7E-CCDF5CB37F0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4" name="TextBox 2813">
          <a:extLst>
            <a:ext uri="{FF2B5EF4-FFF2-40B4-BE49-F238E27FC236}">
              <a16:creationId xmlns:a16="http://schemas.microsoft.com/office/drawing/2014/main" id="{B7176AA1-1480-4130-8DB9-08D80255C7B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5" name="TextBox 2814">
          <a:extLst>
            <a:ext uri="{FF2B5EF4-FFF2-40B4-BE49-F238E27FC236}">
              <a16:creationId xmlns:a16="http://schemas.microsoft.com/office/drawing/2014/main" id="{BDABA1D7-CBFA-4323-8916-DA1D929D9D3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6" name="TextBox 1">
          <a:extLst>
            <a:ext uri="{FF2B5EF4-FFF2-40B4-BE49-F238E27FC236}">
              <a16:creationId xmlns:a16="http://schemas.microsoft.com/office/drawing/2014/main" id="{161134B9-355C-4EBB-A3EB-E94CF198D0C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7" name="TextBox 1">
          <a:extLst>
            <a:ext uri="{FF2B5EF4-FFF2-40B4-BE49-F238E27FC236}">
              <a16:creationId xmlns:a16="http://schemas.microsoft.com/office/drawing/2014/main" id="{92C101B1-D577-40D9-A5B4-378401A86D1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8" name="TextBox 2817">
          <a:extLst>
            <a:ext uri="{FF2B5EF4-FFF2-40B4-BE49-F238E27FC236}">
              <a16:creationId xmlns:a16="http://schemas.microsoft.com/office/drawing/2014/main" id="{FA009457-1F90-47C4-9DD9-AB3231520CA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9" name="TextBox 2818">
          <a:extLst>
            <a:ext uri="{FF2B5EF4-FFF2-40B4-BE49-F238E27FC236}">
              <a16:creationId xmlns:a16="http://schemas.microsoft.com/office/drawing/2014/main" id="{71488214-FD5A-4E8E-8602-00C2E60A131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0" name="TextBox 1">
          <a:extLst>
            <a:ext uri="{FF2B5EF4-FFF2-40B4-BE49-F238E27FC236}">
              <a16:creationId xmlns:a16="http://schemas.microsoft.com/office/drawing/2014/main" id="{0E4512C4-450C-455C-8C3D-052B5EEDF22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1" name="TextBox 1">
          <a:extLst>
            <a:ext uri="{FF2B5EF4-FFF2-40B4-BE49-F238E27FC236}">
              <a16:creationId xmlns:a16="http://schemas.microsoft.com/office/drawing/2014/main" id="{5F8BDBF4-163D-407C-913E-B8049C1B1FC2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2" name="TextBox 2821">
          <a:extLst>
            <a:ext uri="{FF2B5EF4-FFF2-40B4-BE49-F238E27FC236}">
              <a16:creationId xmlns:a16="http://schemas.microsoft.com/office/drawing/2014/main" id="{E132FB56-E757-46DC-A9A4-EF55530D576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3" name="TextBox 2822">
          <a:extLst>
            <a:ext uri="{FF2B5EF4-FFF2-40B4-BE49-F238E27FC236}">
              <a16:creationId xmlns:a16="http://schemas.microsoft.com/office/drawing/2014/main" id="{52BC75C5-1E37-4169-8CCB-27BEC8BD7F8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4" name="TextBox 1">
          <a:extLst>
            <a:ext uri="{FF2B5EF4-FFF2-40B4-BE49-F238E27FC236}">
              <a16:creationId xmlns:a16="http://schemas.microsoft.com/office/drawing/2014/main" id="{AF141B4F-1F86-4A79-8B08-787F1EAED3E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5" name="TextBox 1">
          <a:extLst>
            <a:ext uri="{FF2B5EF4-FFF2-40B4-BE49-F238E27FC236}">
              <a16:creationId xmlns:a16="http://schemas.microsoft.com/office/drawing/2014/main" id="{279795DE-C1CD-44C0-8623-A2A39E82282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6" name="TextBox 2825">
          <a:extLst>
            <a:ext uri="{FF2B5EF4-FFF2-40B4-BE49-F238E27FC236}">
              <a16:creationId xmlns:a16="http://schemas.microsoft.com/office/drawing/2014/main" id="{8C125FA2-B41D-4414-90FF-9284248772D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7" name="TextBox 2826">
          <a:extLst>
            <a:ext uri="{FF2B5EF4-FFF2-40B4-BE49-F238E27FC236}">
              <a16:creationId xmlns:a16="http://schemas.microsoft.com/office/drawing/2014/main" id="{54F84B16-79A4-46CF-AC00-F09CD586AE8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8" name="TextBox 1">
          <a:extLst>
            <a:ext uri="{FF2B5EF4-FFF2-40B4-BE49-F238E27FC236}">
              <a16:creationId xmlns:a16="http://schemas.microsoft.com/office/drawing/2014/main" id="{E592D60E-0CD2-47E6-B3E2-74EA845D726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9" name="TextBox 1">
          <a:extLst>
            <a:ext uri="{FF2B5EF4-FFF2-40B4-BE49-F238E27FC236}">
              <a16:creationId xmlns:a16="http://schemas.microsoft.com/office/drawing/2014/main" id="{53AECE4D-5AD7-4519-833A-2F0129ACD13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0" name="TextBox 2829">
          <a:extLst>
            <a:ext uri="{FF2B5EF4-FFF2-40B4-BE49-F238E27FC236}">
              <a16:creationId xmlns:a16="http://schemas.microsoft.com/office/drawing/2014/main" id="{7BDE06EE-02B0-47D0-8B22-D37D467659B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1" name="TextBox 2830">
          <a:extLst>
            <a:ext uri="{FF2B5EF4-FFF2-40B4-BE49-F238E27FC236}">
              <a16:creationId xmlns:a16="http://schemas.microsoft.com/office/drawing/2014/main" id="{1BD164E7-B254-4484-A5CD-24164BA3A55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2" name="TextBox 1">
          <a:extLst>
            <a:ext uri="{FF2B5EF4-FFF2-40B4-BE49-F238E27FC236}">
              <a16:creationId xmlns:a16="http://schemas.microsoft.com/office/drawing/2014/main" id="{7BAE8077-07A1-4851-B544-7DF2CDFCC7D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3" name="TextBox 1">
          <a:extLst>
            <a:ext uri="{FF2B5EF4-FFF2-40B4-BE49-F238E27FC236}">
              <a16:creationId xmlns:a16="http://schemas.microsoft.com/office/drawing/2014/main" id="{FC34FF4C-C1F3-44F5-81F0-E9401460E8D0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4" name="TextBox 2833">
          <a:extLst>
            <a:ext uri="{FF2B5EF4-FFF2-40B4-BE49-F238E27FC236}">
              <a16:creationId xmlns:a16="http://schemas.microsoft.com/office/drawing/2014/main" id="{7278CABE-5F77-4CF6-8C26-E3CF70DD19C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5" name="TextBox 2834">
          <a:extLst>
            <a:ext uri="{FF2B5EF4-FFF2-40B4-BE49-F238E27FC236}">
              <a16:creationId xmlns:a16="http://schemas.microsoft.com/office/drawing/2014/main" id="{9B032C9A-908A-45CC-9766-9BCB2A17DB3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6" name="TextBox 1">
          <a:extLst>
            <a:ext uri="{FF2B5EF4-FFF2-40B4-BE49-F238E27FC236}">
              <a16:creationId xmlns:a16="http://schemas.microsoft.com/office/drawing/2014/main" id="{6457DA9D-5519-4BE8-97BE-AE3558C2FC9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7" name="TextBox 1">
          <a:extLst>
            <a:ext uri="{FF2B5EF4-FFF2-40B4-BE49-F238E27FC236}">
              <a16:creationId xmlns:a16="http://schemas.microsoft.com/office/drawing/2014/main" id="{FB0C465B-9CDE-416B-BEB5-F9805DBA010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8" name="TextBox 2837">
          <a:extLst>
            <a:ext uri="{FF2B5EF4-FFF2-40B4-BE49-F238E27FC236}">
              <a16:creationId xmlns:a16="http://schemas.microsoft.com/office/drawing/2014/main" id="{9DEBCF44-17DF-40BF-927D-7E41B10F2C2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9" name="TextBox 2838">
          <a:extLst>
            <a:ext uri="{FF2B5EF4-FFF2-40B4-BE49-F238E27FC236}">
              <a16:creationId xmlns:a16="http://schemas.microsoft.com/office/drawing/2014/main" id="{6B8AD792-2A3B-4400-AB5A-616FA5CAB02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0" name="TextBox 1">
          <a:extLst>
            <a:ext uri="{FF2B5EF4-FFF2-40B4-BE49-F238E27FC236}">
              <a16:creationId xmlns:a16="http://schemas.microsoft.com/office/drawing/2014/main" id="{6A0A8005-CA01-4CF8-ACAB-C79BA328AB1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1" name="TextBox 1">
          <a:extLst>
            <a:ext uri="{FF2B5EF4-FFF2-40B4-BE49-F238E27FC236}">
              <a16:creationId xmlns:a16="http://schemas.microsoft.com/office/drawing/2014/main" id="{C50646B0-21E4-4988-98CC-E42EC97CC77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2" name="TextBox 2841">
          <a:extLst>
            <a:ext uri="{FF2B5EF4-FFF2-40B4-BE49-F238E27FC236}">
              <a16:creationId xmlns:a16="http://schemas.microsoft.com/office/drawing/2014/main" id="{50DF2833-DDCB-43CD-A8E7-7F01B8C75B2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3" name="TextBox 2842">
          <a:extLst>
            <a:ext uri="{FF2B5EF4-FFF2-40B4-BE49-F238E27FC236}">
              <a16:creationId xmlns:a16="http://schemas.microsoft.com/office/drawing/2014/main" id="{1423FDB5-9B7C-4D6E-ACB9-BA6B2BE60FB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4" name="TextBox 1">
          <a:extLst>
            <a:ext uri="{FF2B5EF4-FFF2-40B4-BE49-F238E27FC236}">
              <a16:creationId xmlns:a16="http://schemas.microsoft.com/office/drawing/2014/main" id="{13AD3F2D-7EDD-41EA-998F-5A484B70B67A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5" name="TextBox 1">
          <a:extLst>
            <a:ext uri="{FF2B5EF4-FFF2-40B4-BE49-F238E27FC236}">
              <a16:creationId xmlns:a16="http://schemas.microsoft.com/office/drawing/2014/main" id="{4C0B1D00-DEF6-4A19-BCC7-16D983A7C00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6" name="TextBox 2845">
          <a:extLst>
            <a:ext uri="{FF2B5EF4-FFF2-40B4-BE49-F238E27FC236}">
              <a16:creationId xmlns:a16="http://schemas.microsoft.com/office/drawing/2014/main" id="{32C48E4F-3B1E-440D-93A6-4C645C4D511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7" name="TextBox 2846">
          <a:extLst>
            <a:ext uri="{FF2B5EF4-FFF2-40B4-BE49-F238E27FC236}">
              <a16:creationId xmlns:a16="http://schemas.microsoft.com/office/drawing/2014/main" id="{D6C65F1D-3582-4D45-9B0F-75C146CBE84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8" name="TextBox 2847">
          <a:extLst>
            <a:ext uri="{FF2B5EF4-FFF2-40B4-BE49-F238E27FC236}">
              <a16:creationId xmlns:a16="http://schemas.microsoft.com/office/drawing/2014/main" id="{BDE7CE27-22FE-4415-A925-D72C8962955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9" name="TextBox 1">
          <a:extLst>
            <a:ext uri="{FF2B5EF4-FFF2-40B4-BE49-F238E27FC236}">
              <a16:creationId xmlns:a16="http://schemas.microsoft.com/office/drawing/2014/main" id="{603D3A64-0B6B-44FA-9A69-7D53E682E6D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0" name="TextBox 1">
          <a:extLst>
            <a:ext uri="{FF2B5EF4-FFF2-40B4-BE49-F238E27FC236}">
              <a16:creationId xmlns:a16="http://schemas.microsoft.com/office/drawing/2014/main" id="{0010B4D4-2820-45B2-AAA0-92BBEE2E004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1" name="TextBox 2850">
          <a:extLst>
            <a:ext uri="{FF2B5EF4-FFF2-40B4-BE49-F238E27FC236}">
              <a16:creationId xmlns:a16="http://schemas.microsoft.com/office/drawing/2014/main" id="{79F5622C-EA51-41D3-A4A3-E49752D6135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2" name="TextBox 2851">
          <a:extLst>
            <a:ext uri="{FF2B5EF4-FFF2-40B4-BE49-F238E27FC236}">
              <a16:creationId xmlns:a16="http://schemas.microsoft.com/office/drawing/2014/main" id="{EA41D0EB-9DA2-4C5B-A5B8-5B9B7F6D42F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3" name="TextBox 1">
          <a:extLst>
            <a:ext uri="{FF2B5EF4-FFF2-40B4-BE49-F238E27FC236}">
              <a16:creationId xmlns:a16="http://schemas.microsoft.com/office/drawing/2014/main" id="{57DD59C9-5B66-442D-8E1E-C58AA3E13F1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4" name="TextBox 1">
          <a:extLst>
            <a:ext uri="{FF2B5EF4-FFF2-40B4-BE49-F238E27FC236}">
              <a16:creationId xmlns:a16="http://schemas.microsoft.com/office/drawing/2014/main" id="{F3F388D3-4241-4084-A046-9CAF044E62E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5" name="TextBox 2854">
          <a:extLst>
            <a:ext uri="{FF2B5EF4-FFF2-40B4-BE49-F238E27FC236}">
              <a16:creationId xmlns:a16="http://schemas.microsoft.com/office/drawing/2014/main" id="{593F6B00-6459-43DA-9871-F420A306434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6" name="TextBox 2855">
          <a:extLst>
            <a:ext uri="{FF2B5EF4-FFF2-40B4-BE49-F238E27FC236}">
              <a16:creationId xmlns:a16="http://schemas.microsoft.com/office/drawing/2014/main" id="{9CD45F07-F25B-403E-8C5B-39B035E3056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7" name="TextBox 1">
          <a:extLst>
            <a:ext uri="{FF2B5EF4-FFF2-40B4-BE49-F238E27FC236}">
              <a16:creationId xmlns:a16="http://schemas.microsoft.com/office/drawing/2014/main" id="{48948361-6D74-4874-AB66-CBED8B6EEFC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8" name="TextBox 1">
          <a:extLst>
            <a:ext uri="{FF2B5EF4-FFF2-40B4-BE49-F238E27FC236}">
              <a16:creationId xmlns:a16="http://schemas.microsoft.com/office/drawing/2014/main" id="{F4DE9291-F577-47EE-B43B-682DDBC44F4E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9" name="TextBox 2858">
          <a:extLst>
            <a:ext uri="{FF2B5EF4-FFF2-40B4-BE49-F238E27FC236}">
              <a16:creationId xmlns:a16="http://schemas.microsoft.com/office/drawing/2014/main" id="{9983024F-B789-4C9D-9BAE-DEF2C48DC57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0" name="TextBox 2859">
          <a:extLst>
            <a:ext uri="{FF2B5EF4-FFF2-40B4-BE49-F238E27FC236}">
              <a16:creationId xmlns:a16="http://schemas.microsoft.com/office/drawing/2014/main" id="{7A6DAF54-1E46-407F-B795-C858FE77114D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1" name="TextBox 1">
          <a:extLst>
            <a:ext uri="{FF2B5EF4-FFF2-40B4-BE49-F238E27FC236}">
              <a16:creationId xmlns:a16="http://schemas.microsoft.com/office/drawing/2014/main" id="{92A4729E-1095-454B-A3B7-B19581D431F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2" name="TextBox 1">
          <a:extLst>
            <a:ext uri="{FF2B5EF4-FFF2-40B4-BE49-F238E27FC236}">
              <a16:creationId xmlns:a16="http://schemas.microsoft.com/office/drawing/2014/main" id="{B6980BDA-14E6-41D5-8DED-F7BF091F50F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3" name="TextBox 2862">
          <a:extLst>
            <a:ext uri="{FF2B5EF4-FFF2-40B4-BE49-F238E27FC236}">
              <a16:creationId xmlns:a16="http://schemas.microsoft.com/office/drawing/2014/main" id="{69E15CA9-6BFD-43B3-AB3E-737E5393F76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4" name="TextBox 2863">
          <a:extLst>
            <a:ext uri="{FF2B5EF4-FFF2-40B4-BE49-F238E27FC236}">
              <a16:creationId xmlns:a16="http://schemas.microsoft.com/office/drawing/2014/main" id="{70A2A7F3-5A29-48F2-91A0-71EFAE4F20E3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5" name="TextBox 1">
          <a:extLst>
            <a:ext uri="{FF2B5EF4-FFF2-40B4-BE49-F238E27FC236}">
              <a16:creationId xmlns:a16="http://schemas.microsoft.com/office/drawing/2014/main" id="{09A5A6A0-BF52-49A8-BE3A-C4FC5BB20D7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6" name="TextBox 1">
          <a:extLst>
            <a:ext uri="{FF2B5EF4-FFF2-40B4-BE49-F238E27FC236}">
              <a16:creationId xmlns:a16="http://schemas.microsoft.com/office/drawing/2014/main" id="{00562651-9C86-4AC3-8F15-698B1E8E06D4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7" name="TextBox 2866">
          <a:extLst>
            <a:ext uri="{FF2B5EF4-FFF2-40B4-BE49-F238E27FC236}">
              <a16:creationId xmlns:a16="http://schemas.microsoft.com/office/drawing/2014/main" id="{C28A337D-738B-43B6-BEE9-320CC9EB26F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8" name="TextBox 2867">
          <a:extLst>
            <a:ext uri="{FF2B5EF4-FFF2-40B4-BE49-F238E27FC236}">
              <a16:creationId xmlns:a16="http://schemas.microsoft.com/office/drawing/2014/main" id="{BF43EE98-C32E-4CCD-996A-D5156C914457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9" name="TextBox 1">
          <a:extLst>
            <a:ext uri="{FF2B5EF4-FFF2-40B4-BE49-F238E27FC236}">
              <a16:creationId xmlns:a16="http://schemas.microsoft.com/office/drawing/2014/main" id="{49289084-466E-4D50-95DA-9D97CF8411E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0" name="TextBox 1">
          <a:extLst>
            <a:ext uri="{FF2B5EF4-FFF2-40B4-BE49-F238E27FC236}">
              <a16:creationId xmlns:a16="http://schemas.microsoft.com/office/drawing/2014/main" id="{93A9E72A-11B0-483C-B83F-9B36338775A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1" name="TextBox 2870">
          <a:extLst>
            <a:ext uri="{FF2B5EF4-FFF2-40B4-BE49-F238E27FC236}">
              <a16:creationId xmlns:a16="http://schemas.microsoft.com/office/drawing/2014/main" id="{E20090FE-C9D6-4FFC-BDC5-78F98600E3BF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2" name="TextBox 2871">
          <a:extLst>
            <a:ext uri="{FF2B5EF4-FFF2-40B4-BE49-F238E27FC236}">
              <a16:creationId xmlns:a16="http://schemas.microsoft.com/office/drawing/2014/main" id="{8747BBFE-0F91-47EC-8B87-C7E39F5BCCA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3" name="TextBox 1">
          <a:extLst>
            <a:ext uri="{FF2B5EF4-FFF2-40B4-BE49-F238E27FC236}">
              <a16:creationId xmlns:a16="http://schemas.microsoft.com/office/drawing/2014/main" id="{68C7D82E-F2D5-4005-9926-26359E4D92F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4" name="TextBox 1">
          <a:extLst>
            <a:ext uri="{FF2B5EF4-FFF2-40B4-BE49-F238E27FC236}">
              <a16:creationId xmlns:a16="http://schemas.microsoft.com/office/drawing/2014/main" id="{1EAC10CC-6B53-42EC-B3B4-F88FE568449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5" name="TextBox 2874">
          <a:extLst>
            <a:ext uri="{FF2B5EF4-FFF2-40B4-BE49-F238E27FC236}">
              <a16:creationId xmlns:a16="http://schemas.microsoft.com/office/drawing/2014/main" id="{BFFDDEB7-4D74-4203-8461-0F6BC600A771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6" name="TextBox 2875">
          <a:extLst>
            <a:ext uri="{FF2B5EF4-FFF2-40B4-BE49-F238E27FC236}">
              <a16:creationId xmlns:a16="http://schemas.microsoft.com/office/drawing/2014/main" id="{00669C5A-816D-4FA8-AEDF-10C91DFB01F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7" name="TextBox 1">
          <a:extLst>
            <a:ext uri="{FF2B5EF4-FFF2-40B4-BE49-F238E27FC236}">
              <a16:creationId xmlns:a16="http://schemas.microsoft.com/office/drawing/2014/main" id="{E002F066-E89D-4266-B946-5E57DEE83BAC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8" name="TextBox 1">
          <a:extLst>
            <a:ext uri="{FF2B5EF4-FFF2-40B4-BE49-F238E27FC236}">
              <a16:creationId xmlns:a16="http://schemas.microsoft.com/office/drawing/2014/main" id="{FBD73275-C57B-4C04-A1AA-B130E626950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9" name="TextBox 2878">
          <a:extLst>
            <a:ext uri="{FF2B5EF4-FFF2-40B4-BE49-F238E27FC236}">
              <a16:creationId xmlns:a16="http://schemas.microsoft.com/office/drawing/2014/main" id="{6F583C5C-3083-4D98-8F5E-2F53F0F2D068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80" name="TextBox 2879">
          <a:extLst>
            <a:ext uri="{FF2B5EF4-FFF2-40B4-BE49-F238E27FC236}">
              <a16:creationId xmlns:a16="http://schemas.microsoft.com/office/drawing/2014/main" id="{1B5D663C-707B-40F7-9FA9-363A29C76E95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81" name="TextBox 1">
          <a:extLst>
            <a:ext uri="{FF2B5EF4-FFF2-40B4-BE49-F238E27FC236}">
              <a16:creationId xmlns:a16="http://schemas.microsoft.com/office/drawing/2014/main" id="{F10741B5-ECC9-41DB-B799-155CCB32E7D6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82" name="TextBox 1">
          <a:extLst>
            <a:ext uri="{FF2B5EF4-FFF2-40B4-BE49-F238E27FC236}">
              <a16:creationId xmlns:a16="http://schemas.microsoft.com/office/drawing/2014/main" id="{CACDC97A-1AD5-4EB5-BE50-3773F506D27B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83" name="TextBox 2882">
          <a:extLst>
            <a:ext uri="{FF2B5EF4-FFF2-40B4-BE49-F238E27FC236}">
              <a16:creationId xmlns:a16="http://schemas.microsoft.com/office/drawing/2014/main" id="{EE7DD45D-005F-47B6-A2C4-A2D5741B37E9}"/>
            </a:ext>
          </a:extLst>
        </xdr:cNvPr>
        <xdr:cNvSpPr txBox="1"/>
      </xdr:nvSpPr>
      <xdr:spPr>
        <a:xfrm>
          <a:off x="11336383" y="53187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84" name="TextBox 2883">
          <a:extLst>
            <a:ext uri="{FF2B5EF4-FFF2-40B4-BE49-F238E27FC236}">
              <a16:creationId xmlns:a16="http://schemas.microsoft.com/office/drawing/2014/main" id="{1CCB32F6-9B17-4DEA-A314-67B66A76102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85" name="TextBox 1">
          <a:extLst>
            <a:ext uri="{FF2B5EF4-FFF2-40B4-BE49-F238E27FC236}">
              <a16:creationId xmlns:a16="http://schemas.microsoft.com/office/drawing/2014/main" id="{56EAF11D-7553-4B20-BEA0-E3D16F936D6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86" name="TextBox 1">
          <a:extLst>
            <a:ext uri="{FF2B5EF4-FFF2-40B4-BE49-F238E27FC236}">
              <a16:creationId xmlns:a16="http://schemas.microsoft.com/office/drawing/2014/main" id="{75412044-DE8F-4DA7-BAAB-A576FA92A40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87" name="TextBox 2886">
          <a:extLst>
            <a:ext uri="{FF2B5EF4-FFF2-40B4-BE49-F238E27FC236}">
              <a16:creationId xmlns:a16="http://schemas.microsoft.com/office/drawing/2014/main" id="{10A9111C-0BA7-4B95-8CFA-AE1457E6F8A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88" name="TextBox 2887">
          <a:extLst>
            <a:ext uri="{FF2B5EF4-FFF2-40B4-BE49-F238E27FC236}">
              <a16:creationId xmlns:a16="http://schemas.microsoft.com/office/drawing/2014/main" id="{B4EF90C3-35E0-4FF9-B4B2-184EE27644E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89" name="TextBox 1">
          <a:extLst>
            <a:ext uri="{FF2B5EF4-FFF2-40B4-BE49-F238E27FC236}">
              <a16:creationId xmlns:a16="http://schemas.microsoft.com/office/drawing/2014/main" id="{FF50908D-4861-4899-BE4E-584C4F0A044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0" name="TextBox 1">
          <a:extLst>
            <a:ext uri="{FF2B5EF4-FFF2-40B4-BE49-F238E27FC236}">
              <a16:creationId xmlns:a16="http://schemas.microsoft.com/office/drawing/2014/main" id="{9A73DB17-D83E-4698-8F25-1F5CA3A2008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1" name="TextBox 2890">
          <a:extLst>
            <a:ext uri="{FF2B5EF4-FFF2-40B4-BE49-F238E27FC236}">
              <a16:creationId xmlns:a16="http://schemas.microsoft.com/office/drawing/2014/main" id="{1741F115-B389-498A-82F8-17A4DB8ECFC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2" name="TextBox 2891">
          <a:extLst>
            <a:ext uri="{FF2B5EF4-FFF2-40B4-BE49-F238E27FC236}">
              <a16:creationId xmlns:a16="http://schemas.microsoft.com/office/drawing/2014/main" id="{536C2929-8DEB-4FF9-86AD-361F159A902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3" name="TextBox 2892">
          <a:extLst>
            <a:ext uri="{FF2B5EF4-FFF2-40B4-BE49-F238E27FC236}">
              <a16:creationId xmlns:a16="http://schemas.microsoft.com/office/drawing/2014/main" id="{FB5E1C99-4503-44DF-8732-5B8B067DAC6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4" name="TextBox 1">
          <a:extLst>
            <a:ext uri="{FF2B5EF4-FFF2-40B4-BE49-F238E27FC236}">
              <a16:creationId xmlns:a16="http://schemas.microsoft.com/office/drawing/2014/main" id="{FF0365C3-8359-456B-BE7F-92483DEB935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5" name="TextBox 1">
          <a:extLst>
            <a:ext uri="{FF2B5EF4-FFF2-40B4-BE49-F238E27FC236}">
              <a16:creationId xmlns:a16="http://schemas.microsoft.com/office/drawing/2014/main" id="{C727E4FD-D474-4B99-B3E7-1C6B029CB7F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6" name="TextBox 2895">
          <a:extLst>
            <a:ext uri="{FF2B5EF4-FFF2-40B4-BE49-F238E27FC236}">
              <a16:creationId xmlns:a16="http://schemas.microsoft.com/office/drawing/2014/main" id="{6C42BE59-E8A8-4311-A4CB-0735EB838D3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7" name="TextBox 2896">
          <a:extLst>
            <a:ext uri="{FF2B5EF4-FFF2-40B4-BE49-F238E27FC236}">
              <a16:creationId xmlns:a16="http://schemas.microsoft.com/office/drawing/2014/main" id="{EBC7ADB4-6EB4-4BF0-A730-DE154071B18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8" name="TextBox 1">
          <a:extLst>
            <a:ext uri="{FF2B5EF4-FFF2-40B4-BE49-F238E27FC236}">
              <a16:creationId xmlns:a16="http://schemas.microsoft.com/office/drawing/2014/main" id="{D1406911-DC26-448F-A52C-59A39A2F1C4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9" name="TextBox 1">
          <a:extLst>
            <a:ext uri="{FF2B5EF4-FFF2-40B4-BE49-F238E27FC236}">
              <a16:creationId xmlns:a16="http://schemas.microsoft.com/office/drawing/2014/main" id="{C5563BB0-ACD5-4772-994C-C30BE75BE5D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0" name="TextBox 2899">
          <a:extLst>
            <a:ext uri="{FF2B5EF4-FFF2-40B4-BE49-F238E27FC236}">
              <a16:creationId xmlns:a16="http://schemas.microsoft.com/office/drawing/2014/main" id="{CA858D75-2AB8-4A0E-A5D3-F78CF15F317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1" name="TextBox 2900">
          <a:extLst>
            <a:ext uri="{FF2B5EF4-FFF2-40B4-BE49-F238E27FC236}">
              <a16:creationId xmlns:a16="http://schemas.microsoft.com/office/drawing/2014/main" id="{5F977A3D-AF7F-4C0A-ADD1-2391BD4DA65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2" name="TextBox 1">
          <a:extLst>
            <a:ext uri="{FF2B5EF4-FFF2-40B4-BE49-F238E27FC236}">
              <a16:creationId xmlns:a16="http://schemas.microsoft.com/office/drawing/2014/main" id="{C32F7ED5-CD06-4BFB-99FA-A115C2A9DD5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3" name="TextBox 1">
          <a:extLst>
            <a:ext uri="{FF2B5EF4-FFF2-40B4-BE49-F238E27FC236}">
              <a16:creationId xmlns:a16="http://schemas.microsoft.com/office/drawing/2014/main" id="{CFB3DBD4-7BB8-472D-ABE2-7AB6C7E9290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4" name="TextBox 2903">
          <a:extLst>
            <a:ext uri="{FF2B5EF4-FFF2-40B4-BE49-F238E27FC236}">
              <a16:creationId xmlns:a16="http://schemas.microsoft.com/office/drawing/2014/main" id="{1B2A6FC8-75FF-4FE5-B369-87AACE2CCCC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5" name="TextBox 2904">
          <a:extLst>
            <a:ext uri="{FF2B5EF4-FFF2-40B4-BE49-F238E27FC236}">
              <a16:creationId xmlns:a16="http://schemas.microsoft.com/office/drawing/2014/main" id="{240A6586-E0B1-424E-839F-7D1C7F3E668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6" name="TextBox 1">
          <a:extLst>
            <a:ext uri="{FF2B5EF4-FFF2-40B4-BE49-F238E27FC236}">
              <a16:creationId xmlns:a16="http://schemas.microsoft.com/office/drawing/2014/main" id="{23E25BA8-D7E8-4B52-94E6-8061F77F33C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7" name="TextBox 1">
          <a:extLst>
            <a:ext uri="{FF2B5EF4-FFF2-40B4-BE49-F238E27FC236}">
              <a16:creationId xmlns:a16="http://schemas.microsoft.com/office/drawing/2014/main" id="{4C4B58FC-0A6C-4B42-984E-1F67B5B8BBE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8" name="TextBox 2907">
          <a:extLst>
            <a:ext uri="{FF2B5EF4-FFF2-40B4-BE49-F238E27FC236}">
              <a16:creationId xmlns:a16="http://schemas.microsoft.com/office/drawing/2014/main" id="{9D50BFFF-B82F-499A-81C7-C750D2AF260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9" name="TextBox 2908">
          <a:extLst>
            <a:ext uri="{FF2B5EF4-FFF2-40B4-BE49-F238E27FC236}">
              <a16:creationId xmlns:a16="http://schemas.microsoft.com/office/drawing/2014/main" id="{50201C8A-D738-46CC-8EA1-34F8A300CF0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0" name="TextBox 1">
          <a:extLst>
            <a:ext uri="{FF2B5EF4-FFF2-40B4-BE49-F238E27FC236}">
              <a16:creationId xmlns:a16="http://schemas.microsoft.com/office/drawing/2014/main" id="{8B1D1302-EB64-48E3-8C03-4F3F21DAB78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1" name="TextBox 1">
          <a:extLst>
            <a:ext uri="{FF2B5EF4-FFF2-40B4-BE49-F238E27FC236}">
              <a16:creationId xmlns:a16="http://schemas.microsoft.com/office/drawing/2014/main" id="{6A787B71-276F-4545-99BC-ED8825BFA81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2" name="TextBox 2911">
          <a:extLst>
            <a:ext uri="{FF2B5EF4-FFF2-40B4-BE49-F238E27FC236}">
              <a16:creationId xmlns:a16="http://schemas.microsoft.com/office/drawing/2014/main" id="{81A5FFA8-0E26-4F2D-81D5-3A1E9FC8725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3" name="TextBox 2912">
          <a:extLst>
            <a:ext uri="{FF2B5EF4-FFF2-40B4-BE49-F238E27FC236}">
              <a16:creationId xmlns:a16="http://schemas.microsoft.com/office/drawing/2014/main" id="{2DB0A932-971D-4900-8FCE-DA7885FB1B9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4" name="TextBox 1">
          <a:extLst>
            <a:ext uri="{FF2B5EF4-FFF2-40B4-BE49-F238E27FC236}">
              <a16:creationId xmlns:a16="http://schemas.microsoft.com/office/drawing/2014/main" id="{744E8A79-8683-4A56-95D9-4021841A6C4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5" name="TextBox 1">
          <a:extLst>
            <a:ext uri="{FF2B5EF4-FFF2-40B4-BE49-F238E27FC236}">
              <a16:creationId xmlns:a16="http://schemas.microsoft.com/office/drawing/2014/main" id="{B8560CA5-D36D-4650-9CE0-7CAA61B8BB0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6" name="TextBox 2915">
          <a:extLst>
            <a:ext uri="{FF2B5EF4-FFF2-40B4-BE49-F238E27FC236}">
              <a16:creationId xmlns:a16="http://schemas.microsoft.com/office/drawing/2014/main" id="{48EC99EF-9A79-4210-83AB-31A6CF96BC8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7" name="TextBox 2916">
          <a:extLst>
            <a:ext uri="{FF2B5EF4-FFF2-40B4-BE49-F238E27FC236}">
              <a16:creationId xmlns:a16="http://schemas.microsoft.com/office/drawing/2014/main" id="{4AFDD3AD-C6A2-4128-9048-288BB457E9B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8" name="TextBox 1">
          <a:extLst>
            <a:ext uri="{FF2B5EF4-FFF2-40B4-BE49-F238E27FC236}">
              <a16:creationId xmlns:a16="http://schemas.microsoft.com/office/drawing/2014/main" id="{CB38D426-2EF0-4F79-A97F-8491573D9DF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9" name="TextBox 1">
          <a:extLst>
            <a:ext uri="{FF2B5EF4-FFF2-40B4-BE49-F238E27FC236}">
              <a16:creationId xmlns:a16="http://schemas.microsoft.com/office/drawing/2014/main" id="{71D17015-DC5B-4973-A425-4F8C2730177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0" name="TextBox 2919">
          <a:extLst>
            <a:ext uri="{FF2B5EF4-FFF2-40B4-BE49-F238E27FC236}">
              <a16:creationId xmlns:a16="http://schemas.microsoft.com/office/drawing/2014/main" id="{96B2F1AF-A65E-4B95-8F8D-E96B54DE1DF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1" name="TextBox 2920">
          <a:extLst>
            <a:ext uri="{FF2B5EF4-FFF2-40B4-BE49-F238E27FC236}">
              <a16:creationId xmlns:a16="http://schemas.microsoft.com/office/drawing/2014/main" id="{9682A4B1-D59E-44D9-B1D6-A95404D7A04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2" name="TextBox 1">
          <a:extLst>
            <a:ext uri="{FF2B5EF4-FFF2-40B4-BE49-F238E27FC236}">
              <a16:creationId xmlns:a16="http://schemas.microsoft.com/office/drawing/2014/main" id="{DEA68485-15EE-4496-B005-7B858ABEA73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3" name="TextBox 1">
          <a:extLst>
            <a:ext uri="{FF2B5EF4-FFF2-40B4-BE49-F238E27FC236}">
              <a16:creationId xmlns:a16="http://schemas.microsoft.com/office/drawing/2014/main" id="{5FF3C1F8-41EF-4C4E-B014-3C509523B91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4" name="TextBox 2923">
          <a:extLst>
            <a:ext uri="{FF2B5EF4-FFF2-40B4-BE49-F238E27FC236}">
              <a16:creationId xmlns:a16="http://schemas.microsoft.com/office/drawing/2014/main" id="{3669337A-BDE8-41CC-AB51-D79B8C11D84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5" name="TextBox 2924">
          <a:extLst>
            <a:ext uri="{FF2B5EF4-FFF2-40B4-BE49-F238E27FC236}">
              <a16:creationId xmlns:a16="http://schemas.microsoft.com/office/drawing/2014/main" id="{D42DE34F-C150-4BF1-9A61-B7C3353B4DD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6" name="TextBox 1">
          <a:extLst>
            <a:ext uri="{FF2B5EF4-FFF2-40B4-BE49-F238E27FC236}">
              <a16:creationId xmlns:a16="http://schemas.microsoft.com/office/drawing/2014/main" id="{C268A7C9-5D05-4903-868C-8DA1C362998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7" name="TextBox 1">
          <a:extLst>
            <a:ext uri="{FF2B5EF4-FFF2-40B4-BE49-F238E27FC236}">
              <a16:creationId xmlns:a16="http://schemas.microsoft.com/office/drawing/2014/main" id="{006CECBA-D931-4FEA-B04E-29826395702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8" name="TextBox 2927">
          <a:extLst>
            <a:ext uri="{FF2B5EF4-FFF2-40B4-BE49-F238E27FC236}">
              <a16:creationId xmlns:a16="http://schemas.microsoft.com/office/drawing/2014/main" id="{F7CB7A1A-AAC3-41C0-A726-62D36ADAA5B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9" name="TextBox 1">
          <a:extLst>
            <a:ext uri="{FF2B5EF4-FFF2-40B4-BE49-F238E27FC236}">
              <a16:creationId xmlns:a16="http://schemas.microsoft.com/office/drawing/2014/main" id="{FBBED83C-F33E-4257-A2F0-555E2125548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0" name="TextBox 1">
          <a:extLst>
            <a:ext uri="{FF2B5EF4-FFF2-40B4-BE49-F238E27FC236}">
              <a16:creationId xmlns:a16="http://schemas.microsoft.com/office/drawing/2014/main" id="{20AB2138-B0D6-4760-A94C-FC542634DAB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1" name="TextBox 2930">
          <a:extLst>
            <a:ext uri="{FF2B5EF4-FFF2-40B4-BE49-F238E27FC236}">
              <a16:creationId xmlns:a16="http://schemas.microsoft.com/office/drawing/2014/main" id="{04565DA3-7F9B-4F65-BF8C-7928A745056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2" name="TextBox 1">
          <a:extLst>
            <a:ext uri="{FF2B5EF4-FFF2-40B4-BE49-F238E27FC236}">
              <a16:creationId xmlns:a16="http://schemas.microsoft.com/office/drawing/2014/main" id="{5F3EC927-1F7E-4622-980E-F5DF394DED7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3" name="TextBox 2932">
          <a:extLst>
            <a:ext uri="{FF2B5EF4-FFF2-40B4-BE49-F238E27FC236}">
              <a16:creationId xmlns:a16="http://schemas.microsoft.com/office/drawing/2014/main" id="{BDE18BAF-7198-451C-9988-5BE4FD41601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4" name="TextBox 1">
          <a:extLst>
            <a:ext uri="{FF2B5EF4-FFF2-40B4-BE49-F238E27FC236}">
              <a16:creationId xmlns:a16="http://schemas.microsoft.com/office/drawing/2014/main" id="{F8ECD76F-6443-4A00-8EB8-3D3BF44FE82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5" name="TextBox 1">
          <a:extLst>
            <a:ext uri="{FF2B5EF4-FFF2-40B4-BE49-F238E27FC236}">
              <a16:creationId xmlns:a16="http://schemas.microsoft.com/office/drawing/2014/main" id="{887AAC5A-BA41-4432-8CE0-142B59D1F5E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6" name="TextBox 2935">
          <a:extLst>
            <a:ext uri="{FF2B5EF4-FFF2-40B4-BE49-F238E27FC236}">
              <a16:creationId xmlns:a16="http://schemas.microsoft.com/office/drawing/2014/main" id="{9101578D-F040-41B4-B4FC-A7F6367A3E5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7" name="TextBox 2936">
          <a:extLst>
            <a:ext uri="{FF2B5EF4-FFF2-40B4-BE49-F238E27FC236}">
              <a16:creationId xmlns:a16="http://schemas.microsoft.com/office/drawing/2014/main" id="{7BBA2D6E-CF77-4FCE-B876-5802C8207C5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8" name="TextBox 1">
          <a:extLst>
            <a:ext uri="{FF2B5EF4-FFF2-40B4-BE49-F238E27FC236}">
              <a16:creationId xmlns:a16="http://schemas.microsoft.com/office/drawing/2014/main" id="{194C5EC8-B671-4748-ACB4-5385B8476A6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9" name="TextBox 1">
          <a:extLst>
            <a:ext uri="{FF2B5EF4-FFF2-40B4-BE49-F238E27FC236}">
              <a16:creationId xmlns:a16="http://schemas.microsoft.com/office/drawing/2014/main" id="{176297CD-E5F2-4865-A3F9-B43C78A51DC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0" name="TextBox 2939">
          <a:extLst>
            <a:ext uri="{FF2B5EF4-FFF2-40B4-BE49-F238E27FC236}">
              <a16:creationId xmlns:a16="http://schemas.microsoft.com/office/drawing/2014/main" id="{232E4A24-D661-4923-9AE3-266DB5C84D7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1" name="TextBox 2940">
          <a:extLst>
            <a:ext uri="{FF2B5EF4-FFF2-40B4-BE49-F238E27FC236}">
              <a16:creationId xmlns:a16="http://schemas.microsoft.com/office/drawing/2014/main" id="{8CB747CC-67DC-4B1F-9022-AC41F70C5AA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2" name="TextBox 2941">
          <a:extLst>
            <a:ext uri="{FF2B5EF4-FFF2-40B4-BE49-F238E27FC236}">
              <a16:creationId xmlns:a16="http://schemas.microsoft.com/office/drawing/2014/main" id="{3591AC50-B06E-434E-B2BB-AA94C3C4DA7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3" name="TextBox 1">
          <a:extLst>
            <a:ext uri="{FF2B5EF4-FFF2-40B4-BE49-F238E27FC236}">
              <a16:creationId xmlns:a16="http://schemas.microsoft.com/office/drawing/2014/main" id="{722954F4-0181-42FC-AF76-6C076A5FBAB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4" name="TextBox 1">
          <a:extLst>
            <a:ext uri="{FF2B5EF4-FFF2-40B4-BE49-F238E27FC236}">
              <a16:creationId xmlns:a16="http://schemas.microsoft.com/office/drawing/2014/main" id="{E91F0C27-3BF6-4B71-9B0E-15144FD1B18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5" name="TextBox 2944">
          <a:extLst>
            <a:ext uri="{FF2B5EF4-FFF2-40B4-BE49-F238E27FC236}">
              <a16:creationId xmlns:a16="http://schemas.microsoft.com/office/drawing/2014/main" id="{342BCB90-4D89-435C-94E1-836795EF7C5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6" name="TextBox 2945">
          <a:extLst>
            <a:ext uri="{FF2B5EF4-FFF2-40B4-BE49-F238E27FC236}">
              <a16:creationId xmlns:a16="http://schemas.microsoft.com/office/drawing/2014/main" id="{138B9CAB-3403-49DF-8D3A-A3A6F6E87C7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7" name="TextBox 1">
          <a:extLst>
            <a:ext uri="{FF2B5EF4-FFF2-40B4-BE49-F238E27FC236}">
              <a16:creationId xmlns:a16="http://schemas.microsoft.com/office/drawing/2014/main" id="{89AEF4BB-1BA0-48D2-BFEB-AAD49015E63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8" name="TextBox 1">
          <a:extLst>
            <a:ext uri="{FF2B5EF4-FFF2-40B4-BE49-F238E27FC236}">
              <a16:creationId xmlns:a16="http://schemas.microsoft.com/office/drawing/2014/main" id="{E5C73DF7-301D-47FF-BBE2-59739E3EFAC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9" name="TextBox 2948">
          <a:extLst>
            <a:ext uri="{FF2B5EF4-FFF2-40B4-BE49-F238E27FC236}">
              <a16:creationId xmlns:a16="http://schemas.microsoft.com/office/drawing/2014/main" id="{6226005B-52A8-426F-B889-F241A427B10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0" name="TextBox 2949">
          <a:extLst>
            <a:ext uri="{FF2B5EF4-FFF2-40B4-BE49-F238E27FC236}">
              <a16:creationId xmlns:a16="http://schemas.microsoft.com/office/drawing/2014/main" id="{6C787321-CA8A-4350-8F5C-A52E7AD0DBC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1" name="TextBox 1">
          <a:extLst>
            <a:ext uri="{FF2B5EF4-FFF2-40B4-BE49-F238E27FC236}">
              <a16:creationId xmlns:a16="http://schemas.microsoft.com/office/drawing/2014/main" id="{D4A8A87B-0A52-48F4-B074-0ABC2112876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2" name="TextBox 1">
          <a:extLst>
            <a:ext uri="{FF2B5EF4-FFF2-40B4-BE49-F238E27FC236}">
              <a16:creationId xmlns:a16="http://schemas.microsoft.com/office/drawing/2014/main" id="{D8A406AC-1F7E-480A-A750-55A5A6F8A82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3" name="TextBox 2952">
          <a:extLst>
            <a:ext uri="{FF2B5EF4-FFF2-40B4-BE49-F238E27FC236}">
              <a16:creationId xmlns:a16="http://schemas.microsoft.com/office/drawing/2014/main" id="{CE4D2D0E-15DE-4325-94F0-3F204BAB515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4" name="TextBox 2953">
          <a:extLst>
            <a:ext uri="{FF2B5EF4-FFF2-40B4-BE49-F238E27FC236}">
              <a16:creationId xmlns:a16="http://schemas.microsoft.com/office/drawing/2014/main" id="{10CE6C1E-3400-4DC1-82A8-DCC75AF45C0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5" name="TextBox 1">
          <a:extLst>
            <a:ext uri="{FF2B5EF4-FFF2-40B4-BE49-F238E27FC236}">
              <a16:creationId xmlns:a16="http://schemas.microsoft.com/office/drawing/2014/main" id="{0B2C3395-78EF-47A6-9D7D-BD7E7995226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6" name="TextBox 1">
          <a:extLst>
            <a:ext uri="{FF2B5EF4-FFF2-40B4-BE49-F238E27FC236}">
              <a16:creationId xmlns:a16="http://schemas.microsoft.com/office/drawing/2014/main" id="{289AED3C-0BDB-44F1-9484-D4A3CCA137F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7" name="TextBox 2956">
          <a:extLst>
            <a:ext uri="{FF2B5EF4-FFF2-40B4-BE49-F238E27FC236}">
              <a16:creationId xmlns:a16="http://schemas.microsoft.com/office/drawing/2014/main" id="{4A7FD1F9-012C-4E5F-8AA1-8890D9B7FCD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8" name="TextBox 2957">
          <a:extLst>
            <a:ext uri="{FF2B5EF4-FFF2-40B4-BE49-F238E27FC236}">
              <a16:creationId xmlns:a16="http://schemas.microsoft.com/office/drawing/2014/main" id="{FA673BA4-B68A-44DD-9764-3B09F8687D6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9" name="TextBox 1">
          <a:extLst>
            <a:ext uri="{FF2B5EF4-FFF2-40B4-BE49-F238E27FC236}">
              <a16:creationId xmlns:a16="http://schemas.microsoft.com/office/drawing/2014/main" id="{504F05CC-2261-47D4-A275-75CD9A11320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0" name="TextBox 1">
          <a:extLst>
            <a:ext uri="{FF2B5EF4-FFF2-40B4-BE49-F238E27FC236}">
              <a16:creationId xmlns:a16="http://schemas.microsoft.com/office/drawing/2014/main" id="{5429BB47-CA33-4F57-A8D7-36A845A1068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1" name="TextBox 2960">
          <a:extLst>
            <a:ext uri="{FF2B5EF4-FFF2-40B4-BE49-F238E27FC236}">
              <a16:creationId xmlns:a16="http://schemas.microsoft.com/office/drawing/2014/main" id="{1D80D497-E0D9-41FF-9422-2AA743D0BC8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2" name="TextBox 2961">
          <a:extLst>
            <a:ext uri="{FF2B5EF4-FFF2-40B4-BE49-F238E27FC236}">
              <a16:creationId xmlns:a16="http://schemas.microsoft.com/office/drawing/2014/main" id="{032C4E0F-D6BA-463A-A004-BF5FA3EFAB6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3" name="TextBox 1">
          <a:extLst>
            <a:ext uri="{FF2B5EF4-FFF2-40B4-BE49-F238E27FC236}">
              <a16:creationId xmlns:a16="http://schemas.microsoft.com/office/drawing/2014/main" id="{11D375FE-7838-47D4-8B1D-F4F772505DE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4" name="TextBox 1">
          <a:extLst>
            <a:ext uri="{FF2B5EF4-FFF2-40B4-BE49-F238E27FC236}">
              <a16:creationId xmlns:a16="http://schemas.microsoft.com/office/drawing/2014/main" id="{DF48E468-88CD-46A8-ABA8-FE7A8A0055F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5" name="TextBox 2964">
          <a:extLst>
            <a:ext uri="{FF2B5EF4-FFF2-40B4-BE49-F238E27FC236}">
              <a16:creationId xmlns:a16="http://schemas.microsoft.com/office/drawing/2014/main" id="{9A99F6FB-A8F5-4625-8A9E-74F72FCB67F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6" name="TextBox 2965">
          <a:extLst>
            <a:ext uri="{FF2B5EF4-FFF2-40B4-BE49-F238E27FC236}">
              <a16:creationId xmlns:a16="http://schemas.microsoft.com/office/drawing/2014/main" id="{51A91B42-A3F9-49D1-9F2A-A35494A144A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7" name="TextBox 1">
          <a:extLst>
            <a:ext uri="{FF2B5EF4-FFF2-40B4-BE49-F238E27FC236}">
              <a16:creationId xmlns:a16="http://schemas.microsoft.com/office/drawing/2014/main" id="{2EC5CC7B-09C5-4E7D-90E3-3BB033A1905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8" name="TextBox 1">
          <a:extLst>
            <a:ext uri="{FF2B5EF4-FFF2-40B4-BE49-F238E27FC236}">
              <a16:creationId xmlns:a16="http://schemas.microsoft.com/office/drawing/2014/main" id="{EE06C899-E399-41A2-A87A-07868F8BB34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9" name="TextBox 2968">
          <a:extLst>
            <a:ext uri="{FF2B5EF4-FFF2-40B4-BE49-F238E27FC236}">
              <a16:creationId xmlns:a16="http://schemas.microsoft.com/office/drawing/2014/main" id="{BEF97262-A31D-4281-861D-3758569CD9D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0" name="TextBox 2969">
          <a:extLst>
            <a:ext uri="{FF2B5EF4-FFF2-40B4-BE49-F238E27FC236}">
              <a16:creationId xmlns:a16="http://schemas.microsoft.com/office/drawing/2014/main" id="{E832027E-7E2E-43A0-B33F-3F564553AE4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1" name="TextBox 1">
          <a:extLst>
            <a:ext uri="{FF2B5EF4-FFF2-40B4-BE49-F238E27FC236}">
              <a16:creationId xmlns:a16="http://schemas.microsoft.com/office/drawing/2014/main" id="{99A767AC-3BCA-4B47-A55E-A987B13BD5E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2" name="TextBox 1">
          <a:extLst>
            <a:ext uri="{FF2B5EF4-FFF2-40B4-BE49-F238E27FC236}">
              <a16:creationId xmlns:a16="http://schemas.microsoft.com/office/drawing/2014/main" id="{02D9B5F5-7B2C-4B1F-983F-75F1B5CD923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3" name="TextBox 2972">
          <a:extLst>
            <a:ext uri="{FF2B5EF4-FFF2-40B4-BE49-F238E27FC236}">
              <a16:creationId xmlns:a16="http://schemas.microsoft.com/office/drawing/2014/main" id="{8037FDAB-56C1-4137-9D5C-CC5C6247D1A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4" name="TextBox 2973">
          <a:extLst>
            <a:ext uri="{FF2B5EF4-FFF2-40B4-BE49-F238E27FC236}">
              <a16:creationId xmlns:a16="http://schemas.microsoft.com/office/drawing/2014/main" id="{C7F702B3-B250-4AA8-A252-C1909C904F2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5" name="TextBox 1">
          <a:extLst>
            <a:ext uri="{FF2B5EF4-FFF2-40B4-BE49-F238E27FC236}">
              <a16:creationId xmlns:a16="http://schemas.microsoft.com/office/drawing/2014/main" id="{CF9EA50B-4AD3-4656-B57B-6914FA2C9BD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6" name="TextBox 1">
          <a:extLst>
            <a:ext uri="{FF2B5EF4-FFF2-40B4-BE49-F238E27FC236}">
              <a16:creationId xmlns:a16="http://schemas.microsoft.com/office/drawing/2014/main" id="{EB58013A-7BC7-4AB7-A436-1A72193FD21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7" name="TextBox 2976">
          <a:extLst>
            <a:ext uri="{FF2B5EF4-FFF2-40B4-BE49-F238E27FC236}">
              <a16:creationId xmlns:a16="http://schemas.microsoft.com/office/drawing/2014/main" id="{A905A6EC-69F8-48C0-886B-89A0C0F1E58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8" name="TextBox 2977">
          <a:extLst>
            <a:ext uri="{FF2B5EF4-FFF2-40B4-BE49-F238E27FC236}">
              <a16:creationId xmlns:a16="http://schemas.microsoft.com/office/drawing/2014/main" id="{98129CF2-43FA-415E-89E7-381A37B8B95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9" name="TextBox 2978">
          <a:extLst>
            <a:ext uri="{FF2B5EF4-FFF2-40B4-BE49-F238E27FC236}">
              <a16:creationId xmlns:a16="http://schemas.microsoft.com/office/drawing/2014/main" id="{E1A7C2BA-92B3-4378-9BB6-4142405146F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0" name="TextBox 1">
          <a:extLst>
            <a:ext uri="{FF2B5EF4-FFF2-40B4-BE49-F238E27FC236}">
              <a16:creationId xmlns:a16="http://schemas.microsoft.com/office/drawing/2014/main" id="{5E44991A-7D37-474A-B92B-6C8874349B2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1" name="TextBox 1">
          <a:extLst>
            <a:ext uri="{FF2B5EF4-FFF2-40B4-BE49-F238E27FC236}">
              <a16:creationId xmlns:a16="http://schemas.microsoft.com/office/drawing/2014/main" id="{CC2F4FD5-5B81-47D9-953C-FCDA5D0062F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2" name="TextBox 2981">
          <a:extLst>
            <a:ext uri="{FF2B5EF4-FFF2-40B4-BE49-F238E27FC236}">
              <a16:creationId xmlns:a16="http://schemas.microsoft.com/office/drawing/2014/main" id="{B920C965-22D4-49AA-BD6E-2F8BE87905A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3" name="TextBox 2982">
          <a:extLst>
            <a:ext uri="{FF2B5EF4-FFF2-40B4-BE49-F238E27FC236}">
              <a16:creationId xmlns:a16="http://schemas.microsoft.com/office/drawing/2014/main" id="{D092E7BA-8F58-4F66-9206-7D98475B0A6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4" name="TextBox 1">
          <a:extLst>
            <a:ext uri="{FF2B5EF4-FFF2-40B4-BE49-F238E27FC236}">
              <a16:creationId xmlns:a16="http://schemas.microsoft.com/office/drawing/2014/main" id="{99B3C149-E9A7-4AAC-82BC-C1F2EF29AA4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5" name="TextBox 1">
          <a:extLst>
            <a:ext uri="{FF2B5EF4-FFF2-40B4-BE49-F238E27FC236}">
              <a16:creationId xmlns:a16="http://schemas.microsoft.com/office/drawing/2014/main" id="{A62B726A-F0DF-4E90-B184-469799C218F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6" name="TextBox 2985">
          <a:extLst>
            <a:ext uri="{FF2B5EF4-FFF2-40B4-BE49-F238E27FC236}">
              <a16:creationId xmlns:a16="http://schemas.microsoft.com/office/drawing/2014/main" id="{35A24C4B-7401-48DE-BD17-67211117936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7" name="TextBox 2986">
          <a:extLst>
            <a:ext uri="{FF2B5EF4-FFF2-40B4-BE49-F238E27FC236}">
              <a16:creationId xmlns:a16="http://schemas.microsoft.com/office/drawing/2014/main" id="{A6CAD129-0D67-484C-9ACD-840068B9CD5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8" name="TextBox 1">
          <a:extLst>
            <a:ext uri="{FF2B5EF4-FFF2-40B4-BE49-F238E27FC236}">
              <a16:creationId xmlns:a16="http://schemas.microsoft.com/office/drawing/2014/main" id="{358BD470-349D-46B3-92EF-81EAA713268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9" name="TextBox 1">
          <a:extLst>
            <a:ext uri="{FF2B5EF4-FFF2-40B4-BE49-F238E27FC236}">
              <a16:creationId xmlns:a16="http://schemas.microsoft.com/office/drawing/2014/main" id="{36AE588E-BEAC-430A-9D67-5BA9454384B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0" name="TextBox 2989">
          <a:extLst>
            <a:ext uri="{FF2B5EF4-FFF2-40B4-BE49-F238E27FC236}">
              <a16:creationId xmlns:a16="http://schemas.microsoft.com/office/drawing/2014/main" id="{D27D131E-7EBD-4B28-8FF3-F3257D155B4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1" name="TextBox 2990">
          <a:extLst>
            <a:ext uri="{FF2B5EF4-FFF2-40B4-BE49-F238E27FC236}">
              <a16:creationId xmlns:a16="http://schemas.microsoft.com/office/drawing/2014/main" id="{DEC56715-ED01-4295-AD15-3F1B6CDA8E5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2" name="TextBox 1">
          <a:extLst>
            <a:ext uri="{FF2B5EF4-FFF2-40B4-BE49-F238E27FC236}">
              <a16:creationId xmlns:a16="http://schemas.microsoft.com/office/drawing/2014/main" id="{CB45818B-B435-4474-BC49-5ADB8FEFB33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3" name="TextBox 1">
          <a:extLst>
            <a:ext uri="{FF2B5EF4-FFF2-40B4-BE49-F238E27FC236}">
              <a16:creationId xmlns:a16="http://schemas.microsoft.com/office/drawing/2014/main" id="{1062663E-12B2-4C3D-ABC3-A10AF7B3448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4" name="TextBox 2993">
          <a:extLst>
            <a:ext uri="{FF2B5EF4-FFF2-40B4-BE49-F238E27FC236}">
              <a16:creationId xmlns:a16="http://schemas.microsoft.com/office/drawing/2014/main" id="{DBA5A36E-0F8D-471A-948C-0F4766B4B8F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5" name="TextBox 2994">
          <a:extLst>
            <a:ext uri="{FF2B5EF4-FFF2-40B4-BE49-F238E27FC236}">
              <a16:creationId xmlns:a16="http://schemas.microsoft.com/office/drawing/2014/main" id="{93BD6C6B-A28F-4453-B733-0E4F4ED053F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6" name="TextBox 1">
          <a:extLst>
            <a:ext uri="{FF2B5EF4-FFF2-40B4-BE49-F238E27FC236}">
              <a16:creationId xmlns:a16="http://schemas.microsoft.com/office/drawing/2014/main" id="{C16A4072-D2AD-4B8A-987A-22BA669822D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7" name="TextBox 1">
          <a:extLst>
            <a:ext uri="{FF2B5EF4-FFF2-40B4-BE49-F238E27FC236}">
              <a16:creationId xmlns:a16="http://schemas.microsoft.com/office/drawing/2014/main" id="{04487E56-D85E-4CC2-A8E0-5398392CEBC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8" name="TextBox 2997">
          <a:extLst>
            <a:ext uri="{FF2B5EF4-FFF2-40B4-BE49-F238E27FC236}">
              <a16:creationId xmlns:a16="http://schemas.microsoft.com/office/drawing/2014/main" id="{0BBDBFE2-F49A-4C87-972B-F664BB6A568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9" name="TextBox 2998">
          <a:extLst>
            <a:ext uri="{FF2B5EF4-FFF2-40B4-BE49-F238E27FC236}">
              <a16:creationId xmlns:a16="http://schemas.microsoft.com/office/drawing/2014/main" id="{7656B596-E774-4AE8-99A3-C1FC87F8003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0" name="TextBox 1">
          <a:extLst>
            <a:ext uri="{FF2B5EF4-FFF2-40B4-BE49-F238E27FC236}">
              <a16:creationId xmlns:a16="http://schemas.microsoft.com/office/drawing/2014/main" id="{004E9E2C-5236-454F-AEFB-DF8CDF573A0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1" name="TextBox 1">
          <a:extLst>
            <a:ext uri="{FF2B5EF4-FFF2-40B4-BE49-F238E27FC236}">
              <a16:creationId xmlns:a16="http://schemas.microsoft.com/office/drawing/2014/main" id="{96545F5A-887E-4296-A652-5C5AFBA5771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2" name="TextBox 3001">
          <a:extLst>
            <a:ext uri="{FF2B5EF4-FFF2-40B4-BE49-F238E27FC236}">
              <a16:creationId xmlns:a16="http://schemas.microsoft.com/office/drawing/2014/main" id="{03EA48FA-AACE-4C3F-82D2-0CEC7094E6B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3" name="TextBox 3002">
          <a:extLst>
            <a:ext uri="{FF2B5EF4-FFF2-40B4-BE49-F238E27FC236}">
              <a16:creationId xmlns:a16="http://schemas.microsoft.com/office/drawing/2014/main" id="{E8682972-64AF-4B8F-A9AD-ED8E97895D5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4" name="TextBox 1">
          <a:extLst>
            <a:ext uri="{FF2B5EF4-FFF2-40B4-BE49-F238E27FC236}">
              <a16:creationId xmlns:a16="http://schemas.microsoft.com/office/drawing/2014/main" id="{8030D4EB-CAFB-4696-BD4B-EAC0BEA7012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5" name="TextBox 1">
          <a:extLst>
            <a:ext uri="{FF2B5EF4-FFF2-40B4-BE49-F238E27FC236}">
              <a16:creationId xmlns:a16="http://schemas.microsoft.com/office/drawing/2014/main" id="{AA000999-EE4F-4554-8B67-20D7ED97A82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6" name="TextBox 3005">
          <a:extLst>
            <a:ext uri="{FF2B5EF4-FFF2-40B4-BE49-F238E27FC236}">
              <a16:creationId xmlns:a16="http://schemas.microsoft.com/office/drawing/2014/main" id="{E1F3D965-D142-40E4-B1B6-5ECF3947560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7" name="TextBox 3006">
          <a:extLst>
            <a:ext uri="{FF2B5EF4-FFF2-40B4-BE49-F238E27FC236}">
              <a16:creationId xmlns:a16="http://schemas.microsoft.com/office/drawing/2014/main" id="{80CDF77A-1666-436A-BC67-F8B5FE1057D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8" name="TextBox 1">
          <a:extLst>
            <a:ext uri="{FF2B5EF4-FFF2-40B4-BE49-F238E27FC236}">
              <a16:creationId xmlns:a16="http://schemas.microsoft.com/office/drawing/2014/main" id="{D20E4DC3-8121-475E-89DE-0FE62A3B05A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9" name="TextBox 1">
          <a:extLst>
            <a:ext uri="{FF2B5EF4-FFF2-40B4-BE49-F238E27FC236}">
              <a16:creationId xmlns:a16="http://schemas.microsoft.com/office/drawing/2014/main" id="{D572821B-8970-45CA-8E95-076B78AAB01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0" name="TextBox 3009">
          <a:extLst>
            <a:ext uri="{FF2B5EF4-FFF2-40B4-BE49-F238E27FC236}">
              <a16:creationId xmlns:a16="http://schemas.microsoft.com/office/drawing/2014/main" id="{9FC5D218-10EF-4156-9CB6-AB6BE0B8D8D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1" name="TextBox 3010">
          <a:extLst>
            <a:ext uri="{FF2B5EF4-FFF2-40B4-BE49-F238E27FC236}">
              <a16:creationId xmlns:a16="http://schemas.microsoft.com/office/drawing/2014/main" id="{4E586576-FBA9-4EC4-BF8D-32F7B497260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2" name="TextBox 1">
          <a:extLst>
            <a:ext uri="{FF2B5EF4-FFF2-40B4-BE49-F238E27FC236}">
              <a16:creationId xmlns:a16="http://schemas.microsoft.com/office/drawing/2014/main" id="{DE3F47D5-F812-4E35-9369-6BF54B622AC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3" name="TextBox 1">
          <a:extLst>
            <a:ext uri="{FF2B5EF4-FFF2-40B4-BE49-F238E27FC236}">
              <a16:creationId xmlns:a16="http://schemas.microsoft.com/office/drawing/2014/main" id="{42839BAA-65DF-49D8-91F3-D053CE50E17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4" name="TextBox 3013">
          <a:extLst>
            <a:ext uri="{FF2B5EF4-FFF2-40B4-BE49-F238E27FC236}">
              <a16:creationId xmlns:a16="http://schemas.microsoft.com/office/drawing/2014/main" id="{A7EA8632-AE51-4443-9D65-94060F73309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5" name="TextBox 3014">
          <a:extLst>
            <a:ext uri="{FF2B5EF4-FFF2-40B4-BE49-F238E27FC236}">
              <a16:creationId xmlns:a16="http://schemas.microsoft.com/office/drawing/2014/main" id="{930AC9AF-0BFE-4DCA-AA74-A1D1F0B1D9A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6" name="TextBox 1">
          <a:extLst>
            <a:ext uri="{FF2B5EF4-FFF2-40B4-BE49-F238E27FC236}">
              <a16:creationId xmlns:a16="http://schemas.microsoft.com/office/drawing/2014/main" id="{B828AE6B-D64D-416E-8B43-E3EA08789FD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7" name="TextBox 1">
          <a:extLst>
            <a:ext uri="{FF2B5EF4-FFF2-40B4-BE49-F238E27FC236}">
              <a16:creationId xmlns:a16="http://schemas.microsoft.com/office/drawing/2014/main" id="{A7725AEF-30BB-4C87-8A0B-01611E82D77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8" name="TextBox 3017">
          <a:extLst>
            <a:ext uri="{FF2B5EF4-FFF2-40B4-BE49-F238E27FC236}">
              <a16:creationId xmlns:a16="http://schemas.microsoft.com/office/drawing/2014/main" id="{53F74926-CA3D-4AED-9976-E9574EA7288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9" name="TextBox 3018">
          <a:extLst>
            <a:ext uri="{FF2B5EF4-FFF2-40B4-BE49-F238E27FC236}">
              <a16:creationId xmlns:a16="http://schemas.microsoft.com/office/drawing/2014/main" id="{049F626E-C887-42F5-92F4-74013605326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0" name="TextBox 1">
          <a:extLst>
            <a:ext uri="{FF2B5EF4-FFF2-40B4-BE49-F238E27FC236}">
              <a16:creationId xmlns:a16="http://schemas.microsoft.com/office/drawing/2014/main" id="{97398D3D-0FCA-44E4-BAF7-4132756C469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1" name="TextBox 1">
          <a:extLst>
            <a:ext uri="{FF2B5EF4-FFF2-40B4-BE49-F238E27FC236}">
              <a16:creationId xmlns:a16="http://schemas.microsoft.com/office/drawing/2014/main" id="{E5CBDB08-EBE7-41B2-9C58-883D5E8EA6B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2" name="TextBox 3021">
          <a:extLst>
            <a:ext uri="{FF2B5EF4-FFF2-40B4-BE49-F238E27FC236}">
              <a16:creationId xmlns:a16="http://schemas.microsoft.com/office/drawing/2014/main" id="{58F8B25D-0E91-4E08-91C6-C63BEEE6138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3" name="TextBox 3022">
          <a:extLst>
            <a:ext uri="{FF2B5EF4-FFF2-40B4-BE49-F238E27FC236}">
              <a16:creationId xmlns:a16="http://schemas.microsoft.com/office/drawing/2014/main" id="{7BF95AE4-16C1-432A-A81F-EE7930D1E6C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4" name="TextBox 3023">
          <a:extLst>
            <a:ext uri="{FF2B5EF4-FFF2-40B4-BE49-F238E27FC236}">
              <a16:creationId xmlns:a16="http://schemas.microsoft.com/office/drawing/2014/main" id="{86D3B64C-B887-4A88-B9A1-343016BDA77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5" name="TextBox 1">
          <a:extLst>
            <a:ext uri="{FF2B5EF4-FFF2-40B4-BE49-F238E27FC236}">
              <a16:creationId xmlns:a16="http://schemas.microsoft.com/office/drawing/2014/main" id="{8FD7868C-DA1F-4F7C-932B-8726EE5AD08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6" name="TextBox 1">
          <a:extLst>
            <a:ext uri="{FF2B5EF4-FFF2-40B4-BE49-F238E27FC236}">
              <a16:creationId xmlns:a16="http://schemas.microsoft.com/office/drawing/2014/main" id="{0101977D-D419-41A5-95B4-3639D1391C0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7" name="TextBox 3026">
          <a:extLst>
            <a:ext uri="{FF2B5EF4-FFF2-40B4-BE49-F238E27FC236}">
              <a16:creationId xmlns:a16="http://schemas.microsoft.com/office/drawing/2014/main" id="{A0AC2E48-A401-4ACC-81D9-7FF5B5201A1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8" name="TextBox 3027">
          <a:extLst>
            <a:ext uri="{FF2B5EF4-FFF2-40B4-BE49-F238E27FC236}">
              <a16:creationId xmlns:a16="http://schemas.microsoft.com/office/drawing/2014/main" id="{6695749B-481C-411B-9EDB-1B45C8D786B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9" name="TextBox 1">
          <a:extLst>
            <a:ext uri="{FF2B5EF4-FFF2-40B4-BE49-F238E27FC236}">
              <a16:creationId xmlns:a16="http://schemas.microsoft.com/office/drawing/2014/main" id="{EA73BEF2-4CEE-4F73-9382-450EECC8A13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0" name="TextBox 1">
          <a:extLst>
            <a:ext uri="{FF2B5EF4-FFF2-40B4-BE49-F238E27FC236}">
              <a16:creationId xmlns:a16="http://schemas.microsoft.com/office/drawing/2014/main" id="{C5057B84-95B0-4338-8495-84FEBD3A384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1" name="TextBox 3030">
          <a:extLst>
            <a:ext uri="{FF2B5EF4-FFF2-40B4-BE49-F238E27FC236}">
              <a16:creationId xmlns:a16="http://schemas.microsoft.com/office/drawing/2014/main" id="{192D9056-390B-454C-96FC-27B98AEA4A7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2" name="TextBox 3031">
          <a:extLst>
            <a:ext uri="{FF2B5EF4-FFF2-40B4-BE49-F238E27FC236}">
              <a16:creationId xmlns:a16="http://schemas.microsoft.com/office/drawing/2014/main" id="{C8C36B2E-3B92-4019-8E38-087D09A4022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3" name="TextBox 1">
          <a:extLst>
            <a:ext uri="{FF2B5EF4-FFF2-40B4-BE49-F238E27FC236}">
              <a16:creationId xmlns:a16="http://schemas.microsoft.com/office/drawing/2014/main" id="{94EBDAC4-EAEF-47B9-A6D5-66DD9E8CE02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4" name="TextBox 1">
          <a:extLst>
            <a:ext uri="{FF2B5EF4-FFF2-40B4-BE49-F238E27FC236}">
              <a16:creationId xmlns:a16="http://schemas.microsoft.com/office/drawing/2014/main" id="{847CEC4B-F9CB-4733-86B0-9C2AAA5176E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5" name="TextBox 3034">
          <a:extLst>
            <a:ext uri="{FF2B5EF4-FFF2-40B4-BE49-F238E27FC236}">
              <a16:creationId xmlns:a16="http://schemas.microsoft.com/office/drawing/2014/main" id="{9CE5C2F1-1DF7-4FDA-BC36-C25544061CD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6" name="TextBox 3035">
          <a:extLst>
            <a:ext uri="{FF2B5EF4-FFF2-40B4-BE49-F238E27FC236}">
              <a16:creationId xmlns:a16="http://schemas.microsoft.com/office/drawing/2014/main" id="{E8EBBC8F-C90C-469A-9C31-8E47597BF7D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7" name="TextBox 1">
          <a:extLst>
            <a:ext uri="{FF2B5EF4-FFF2-40B4-BE49-F238E27FC236}">
              <a16:creationId xmlns:a16="http://schemas.microsoft.com/office/drawing/2014/main" id="{98C18984-5472-4482-89F1-36B39D69383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8" name="TextBox 1">
          <a:extLst>
            <a:ext uri="{FF2B5EF4-FFF2-40B4-BE49-F238E27FC236}">
              <a16:creationId xmlns:a16="http://schemas.microsoft.com/office/drawing/2014/main" id="{1AA56BD0-9A53-4487-AE31-A56EB022517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9" name="TextBox 3038">
          <a:extLst>
            <a:ext uri="{FF2B5EF4-FFF2-40B4-BE49-F238E27FC236}">
              <a16:creationId xmlns:a16="http://schemas.microsoft.com/office/drawing/2014/main" id="{976EE88A-6818-483C-A168-AB24378A327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0" name="TextBox 3039">
          <a:extLst>
            <a:ext uri="{FF2B5EF4-FFF2-40B4-BE49-F238E27FC236}">
              <a16:creationId xmlns:a16="http://schemas.microsoft.com/office/drawing/2014/main" id="{FBB75AF3-BA53-4AE0-ADB6-BA125AB0EA1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1" name="TextBox 1">
          <a:extLst>
            <a:ext uri="{FF2B5EF4-FFF2-40B4-BE49-F238E27FC236}">
              <a16:creationId xmlns:a16="http://schemas.microsoft.com/office/drawing/2014/main" id="{595578A6-FA63-4BB1-A746-9208B065C2E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2" name="TextBox 1">
          <a:extLst>
            <a:ext uri="{FF2B5EF4-FFF2-40B4-BE49-F238E27FC236}">
              <a16:creationId xmlns:a16="http://schemas.microsoft.com/office/drawing/2014/main" id="{60D60479-34E2-46CC-A776-7437057AEE9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3" name="TextBox 3042">
          <a:extLst>
            <a:ext uri="{FF2B5EF4-FFF2-40B4-BE49-F238E27FC236}">
              <a16:creationId xmlns:a16="http://schemas.microsoft.com/office/drawing/2014/main" id="{E79764E8-B934-46BE-A88C-6AA7735EB9F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4" name="TextBox 3043">
          <a:extLst>
            <a:ext uri="{FF2B5EF4-FFF2-40B4-BE49-F238E27FC236}">
              <a16:creationId xmlns:a16="http://schemas.microsoft.com/office/drawing/2014/main" id="{45B644B6-6100-4639-AED4-3AB79F16594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5" name="TextBox 1">
          <a:extLst>
            <a:ext uri="{FF2B5EF4-FFF2-40B4-BE49-F238E27FC236}">
              <a16:creationId xmlns:a16="http://schemas.microsoft.com/office/drawing/2014/main" id="{E8DFDAC5-D30A-4F17-BCEF-134F48E3DC7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6" name="TextBox 1">
          <a:extLst>
            <a:ext uri="{FF2B5EF4-FFF2-40B4-BE49-F238E27FC236}">
              <a16:creationId xmlns:a16="http://schemas.microsoft.com/office/drawing/2014/main" id="{257421DC-229D-4894-86DE-9AE6F967367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7" name="TextBox 3046">
          <a:extLst>
            <a:ext uri="{FF2B5EF4-FFF2-40B4-BE49-F238E27FC236}">
              <a16:creationId xmlns:a16="http://schemas.microsoft.com/office/drawing/2014/main" id="{90663075-86EB-4954-B3F9-38B3A165966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8" name="TextBox 3047">
          <a:extLst>
            <a:ext uri="{FF2B5EF4-FFF2-40B4-BE49-F238E27FC236}">
              <a16:creationId xmlns:a16="http://schemas.microsoft.com/office/drawing/2014/main" id="{F64886E7-EF28-4B1F-A61C-493C9E79271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9" name="TextBox 1">
          <a:extLst>
            <a:ext uri="{FF2B5EF4-FFF2-40B4-BE49-F238E27FC236}">
              <a16:creationId xmlns:a16="http://schemas.microsoft.com/office/drawing/2014/main" id="{257FAC16-7FB1-49E2-91AF-59BB81F5566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0" name="TextBox 1">
          <a:extLst>
            <a:ext uri="{FF2B5EF4-FFF2-40B4-BE49-F238E27FC236}">
              <a16:creationId xmlns:a16="http://schemas.microsoft.com/office/drawing/2014/main" id="{3BB25182-76CD-42FC-AC71-740192BBC86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1" name="TextBox 3050">
          <a:extLst>
            <a:ext uri="{FF2B5EF4-FFF2-40B4-BE49-F238E27FC236}">
              <a16:creationId xmlns:a16="http://schemas.microsoft.com/office/drawing/2014/main" id="{C37E0D56-326D-44CD-A19D-66CD1A09DCB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2" name="TextBox 3051">
          <a:extLst>
            <a:ext uri="{FF2B5EF4-FFF2-40B4-BE49-F238E27FC236}">
              <a16:creationId xmlns:a16="http://schemas.microsoft.com/office/drawing/2014/main" id="{A75744F7-6E1E-49EC-A56A-D4C10A10636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3" name="TextBox 1">
          <a:extLst>
            <a:ext uri="{FF2B5EF4-FFF2-40B4-BE49-F238E27FC236}">
              <a16:creationId xmlns:a16="http://schemas.microsoft.com/office/drawing/2014/main" id="{7A00778D-4D45-45C1-AF8B-9A65334D87F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4" name="TextBox 1">
          <a:extLst>
            <a:ext uri="{FF2B5EF4-FFF2-40B4-BE49-F238E27FC236}">
              <a16:creationId xmlns:a16="http://schemas.microsoft.com/office/drawing/2014/main" id="{D29C72D6-A9D0-486F-B2FF-2A3B042A6B1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5" name="TextBox 3054">
          <a:extLst>
            <a:ext uri="{FF2B5EF4-FFF2-40B4-BE49-F238E27FC236}">
              <a16:creationId xmlns:a16="http://schemas.microsoft.com/office/drawing/2014/main" id="{4ECF6382-EDA3-42B9-B5C2-99EADD10F3C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6" name="TextBox 3055">
          <a:extLst>
            <a:ext uri="{FF2B5EF4-FFF2-40B4-BE49-F238E27FC236}">
              <a16:creationId xmlns:a16="http://schemas.microsoft.com/office/drawing/2014/main" id="{EA14A7AA-31D7-44FD-92A2-2BE522A95A6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7" name="TextBox 1">
          <a:extLst>
            <a:ext uri="{FF2B5EF4-FFF2-40B4-BE49-F238E27FC236}">
              <a16:creationId xmlns:a16="http://schemas.microsoft.com/office/drawing/2014/main" id="{896673A5-A095-4B80-8A6B-26548C335D7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8" name="TextBox 1">
          <a:extLst>
            <a:ext uri="{FF2B5EF4-FFF2-40B4-BE49-F238E27FC236}">
              <a16:creationId xmlns:a16="http://schemas.microsoft.com/office/drawing/2014/main" id="{E7B45384-AF09-4962-B84E-5D2EDC102F6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9" name="TextBox 3058">
          <a:extLst>
            <a:ext uri="{FF2B5EF4-FFF2-40B4-BE49-F238E27FC236}">
              <a16:creationId xmlns:a16="http://schemas.microsoft.com/office/drawing/2014/main" id="{E28E8F9E-A5F0-4E3A-9748-F80D2822FC5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0" name="TextBox 1">
          <a:extLst>
            <a:ext uri="{FF2B5EF4-FFF2-40B4-BE49-F238E27FC236}">
              <a16:creationId xmlns:a16="http://schemas.microsoft.com/office/drawing/2014/main" id="{2D926499-E8E6-48BE-A3E7-8D55BEACA9B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1" name="TextBox 1">
          <a:extLst>
            <a:ext uri="{FF2B5EF4-FFF2-40B4-BE49-F238E27FC236}">
              <a16:creationId xmlns:a16="http://schemas.microsoft.com/office/drawing/2014/main" id="{C2C10B14-9163-443A-BE67-EAE6E96D514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2" name="TextBox 3061">
          <a:extLst>
            <a:ext uri="{FF2B5EF4-FFF2-40B4-BE49-F238E27FC236}">
              <a16:creationId xmlns:a16="http://schemas.microsoft.com/office/drawing/2014/main" id="{8395954B-FF61-4CEA-9C6B-70F967F26AC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3" name="TextBox 1">
          <a:extLst>
            <a:ext uri="{FF2B5EF4-FFF2-40B4-BE49-F238E27FC236}">
              <a16:creationId xmlns:a16="http://schemas.microsoft.com/office/drawing/2014/main" id="{55DEB283-4E5C-45BE-983D-9CFFC3FF2A8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4" name="TextBox 3063">
          <a:extLst>
            <a:ext uri="{FF2B5EF4-FFF2-40B4-BE49-F238E27FC236}">
              <a16:creationId xmlns:a16="http://schemas.microsoft.com/office/drawing/2014/main" id="{749D6BFF-8FE8-437F-8C1C-FC1A4EE9FC3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5" name="TextBox 1">
          <a:extLst>
            <a:ext uri="{FF2B5EF4-FFF2-40B4-BE49-F238E27FC236}">
              <a16:creationId xmlns:a16="http://schemas.microsoft.com/office/drawing/2014/main" id="{DFA11A5A-D214-4913-A31C-0A153B89BB9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6" name="TextBox 1">
          <a:extLst>
            <a:ext uri="{FF2B5EF4-FFF2-40B4-BE49-F238E27FC236}">
              <a16:creationId xmlns:a16="http://schemas.microsoft.com/office/drawing/2014/main" id="{8B999876-73D3-4732-8C5A-7732896DC0F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7" name="TextBox 3066">
          <a:extLst>
            <a:ext uri="{FF2B5EF4-FFF2-40B4-BE49-F238E27FC236}">
              <a16:creationId xmlns:a16="http://schemas.microsoft.com/office/drawing/2014/main" id="{261A5610-39E7-4AED-9DE0-BCB3DB63825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8" name="TextBox 3067">
          <a:extLst>
            <a:ext uri="{FF2B5EF4-FFF2-40B4-BE49-F238E27FC236}">
              <a16:creationId xmlns:a16="http://schemas.microsoft.com/office/drawing/2014/main" id="{6A0B762C-ACC4-4549-8079-86CA270EA0A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9" name="TextBox 1">
          <a:extLst>
            <a:ext uri="{FF2B5EF4-FFF2-40B4-BE49-F238E27FC236}">
              <a16:creationId xmlns:a16="http://schemas.microsoft.com/office/drawing/2014/main" id="{AA3C673B-BDD5-4733-A655-2671D031167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0" name="TextBox 1">
          <a:extLst>
            <a:ext uri="{FF2B5EF4-FFF2-40B4-BE49-F238E27FC236}">
              <a16:creationId xmlns:a16="http://schemas.microsoft.com/office/drawing/2014/main" id="{398DAA70-4287-4E61-914F-B5177EAC7E3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1" name="TextBox 3070">
          <a:extLst>
            <a:ext uri="{FF2B5EF4-FFF2-40B4-BE49-F238E27FC236}">
              <a16:creationId xmlns:a16="http://schemas.microsoft.com/office/drawing/2014/main" id="{D1537180-AA44-4CEC-B37E-D1A496CF251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2" name="TextBox 3071">
          <a:extLst>
            <a:ext uri="{FF2B5EF4-FFF2-40B4-BE49-F238E27FC236}">
              <a16:creationId xmlns:a16="http://schemas.microsoft.com/office/drawing/2014/main" id="{071342D9-BDB3-4C43-A95F-27B7F25124D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3" name="TextBox 3072">
          <a:extLst>
            <a:ext uri="{FF2B5EF4-FFF2-40B4-BE49-F238E27FC236}">
              <a16:creationId xmlns:a16="http://schemas.microsoft.com/office/drawing/2014/main" id="{6A875EE5-4757-48D3-9043-E4A86071AAD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4" name="TextBox 1">
          <a:extLst>
            <a:ext uri="{FF2B5EF4-FFF2-40B4-BE49-F238E27FC236}">
              <a16:creationId xmlns:a16="http://schemas.microsoft.com/office/drawing/2014/main" id="{FEBD323D-B79B-47E6-8186-141288D386B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5" name="TextBox 1">
          <a:extLst>
            <a:ext uri="{FF2B5EF4-FFF2-40B4-BE49-F238E27FC236}">
              <a16:creationId xmlns:a16="http://schemas.microsoft.com/office/drawing/2014/main" id="{B05A48EA-B85C-4FD6-8F63-B8EE3D7EFB6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6" name="TextBox 3075">
          <a:extLst>
            <a:ext uri="{FF2B5EF4-FFF2-40B4-BE49-F238E27FC236}">
              <a16:creationId xmlns:a16="http://schemas.microsoft.com/office/drawing/2014/main" id="{36924DBA-B28D-4224-BA59-9E168B27BE3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7" name="TextBox 3076">
          <a:extLst>
            <a:ext uri="{FF2B5EF4-FFF2-40B4-BE49-F238E27FC236}">
              <a16:creationId xmlns:a16="http://schemas.microsoft.com/office/drawing/2014/main" id="{7C6570B0-E54D-4225-B2BF-1BFBDB2C793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8" name="TextBox 1">
          <a:extLst>
            <a:ext uri="{FF2B5EF4-FFF2-40B4-BE49-F238E27FC236}">
              <a16:creationId xmlns:a16="http://schemas.microsoft.com/office/drawing/2014/main" id="{AFBF5BD8-796B-4063-A1B7-81CC33A479C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9" name="TextBox 1">
          <a:extLst>
            <a:ext uri="{FF2B5EF4-FFF2-40B4-BE49-F238E27FC236}">
              <a16:creationId xmlns:a16="http://schemas.microsoft.com/office/drawing/2014/main" id="{44BF35C4-986B-487B-91BE-180F9477497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0" name="TextBox 3079">
          <a:extLst>
            <a:ext uri="{FF2B5EF4-FFF2-40B4-BE49-F238E27FC236}">
              <a16:creationId xmlns:a16="http://schemas.microsoft.com/office/drawing/2014/main" id="{1E89FEA8-77D1-4DF9-8548-5C23282C18A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1" name="TextBox 3080">
          <a:extLst>
            <a:ext uri="{FF2B5EF4-FFF2-40B4-BE49-F238E27FC236}">
              <a16:creationId xmlns:a16="http://schemas.microsoft.com/office/drawing/2014/main" id="{AFC238F2-07AC-48F2-B1D9-E0517AB614C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2" name="TextBox 1">
          <a:extLst>
            <a:ext uri="{FF2B5EF4-FFF2-40B4-BE49-F238E27FC236}">
              <a16:creationId xmlns:a16="http://schemas.microsoft.com/office/drawing/2014/main" id="{790242AE-E16D-4A90-AE45-0A7ADDB8A84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3" name="TextBox 1">
          <a:extLst>
            <a:ext uri="{FF2B5EF4-FFF2-40B4-BE49-F238E27FC236}">
              <a16:creationId xmlns:a16="http://schemas.microsoft.com/office/drawing/2014/main" id="{FEACE83A-5CD7-48F1-9193-803E66685C0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4" name="TextBox 3083">
          <a:extLst>
            <a:ext uri="{FF2B5EF4-FFF2-40B4-BE49-F238E27FC236}">
              <a16:creationId xmlns:a16="http://schemas.microsoft.com/office/drawing/2014/main" id="{7A1ACA74-997C-4FA6-A782-E024A699E60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5" name="TextBox 3084">
          <a:extLst>
            <a:ext uri="{FF2B5EF4-FFF2-40B4-BE49-F238E27FC236}">
              <a16:creationId xmlns:a16="http://schemas.microsoft.com/office/drawing/2014/main" id="{6F24C10C-06DE-475F-BCA4-AA697A0817D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6" name="TextBox 1">
          <a:extLst>
            <a:ext uri="{FF2B5EF4-FFF2-40B4-BE49-F238E27FC236}">
              <a16:creationId xmlns:a16="http://schemas.microsoft.com/office/drawing/2014/main" id="{EA1133BA-AE83-4EEC-B27E-F2858BAFC5F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7" name="TextBox 1">
          <a:extLst>
            <a:ext uri="{FF2B5EF4-FFF2-40B4-BE49-F238E27FC236}">
              <a16:creationId xmlns:a16="http://schemas.microsoft.com/office/drawing/2014/main" id="{B7B09869-DAC6-4A55-9D41-32CA843CAE4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8" name="TextBox 3087">
          <a:extLst>
            <a:ext uri="{FF2B5EF4-FFF2-40B4-BE49-F238E27FC236}">
              <a16:creationId xmlns:a16="http://schemas.microsoft.com/office/drawing/2014/main" id="{D386AB90-1EF4-46EE-B456-AAB6DCD184F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9" name="TextBox 3088">
          <a:extLst>
            <a:ext uri="{FF2B5EF4-FFF2-40B4-BE49-F238E27FC236}">
              <a16:creationId xmlns:a16="http://schemas.microsoft.com/office/drawing/2014/main" id="{E41D6FBF-FA5C-4F00-9F78-4B1E30317B4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0" name="TextBox 1">
          <a:extLst>
            <a:ext uri="{FF2B5EF4-FFF2-40B4-BE49-F238E27FC236}">
              <a16:creationId xmlns:a16="http://schemas.microsoft.com/office/drawing/2014/main" id="{3C1EDDB9-FE05-43EE-AC19-B896FB86883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1" name="TextBox 1">
          <a:extLst>
            <a:ext uri="{FF2B5EF4-FFF2-40B4-BE49-F238E27FC236}">
              <a16:creationId xmlns:a16="http://schemas.microsoft.com/office/drawing/2014/main" id="{409FE72C-0E29-46E9-8B70-D080AE776C6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2" name="TextBox 3091">
          <a:extLst>
            <a:ext uri="{FF2B5EF4-FFF2-40B4-BE49-F238E27FC236}">
              <a16:creationId xmlns:a16="http://schemas.microsoft.com/office/drawing/2014/main" id="{2D5FE4CD-A14B-4028-A555-2C818AAA5D8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3" name="TextBox 3092">
          <a:extLst>
            <a:ext uri="{FF2B5EF4-FFF2-40B4-BE49-F238E27FC236}">
              <a16:creationId xmlns:a16="http://schemas.microsoft.com/office/drawing/2014/main" id="{976FCFE5-18ED-4AC3-B3F9-2F9F8015785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4" name="TextBox 1">
          <a:extLst>
            <a:ext uri="{FF2B5EF4-FFF2-40B4-BE49-F238E27FC236}">
              <a16:creationId xmlns:a16="http://schemas.microsoft.com/office/drawing/2014/main" id="{1CD9145C-6609-4170-B292-7627B4EA991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5" name="TextBox 1">
          <a:extLst>
            <a:ext uri="{FF2B5EF4-FFF2-40B4-BE49-F238E27FC236}">
              <a16:creationId xmlns:a16="http://schemas.microsoft.com/office/drawing/2014/main" id="{7B3A6DEE-92DB-4109-8703-110D5D2491C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6" name="TextBox 3095">
          <a:extLst>
            <a:ext uri="{FF2B5EF4-FFF2-40B4-BE49-F238E27FC236}">
              <a16:creationId xmlns:a16="http://schemas.microsoft.com/office/drawing/2014/main" id="{EF5AA74C-6AC2-4309-A276-55D3C0959B9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7" name="TextBox 3096">
          <a:extLst>
            <a:ext uri="{FF2B5EF4-FFF2-40B4-BE49-F238E27FC236}">
              <a16:creationId xmlns:a16="http://schemas.microsoft.com/office/drawing/2014/main" id="{A88412CE-B263-4FDF-B6F2-75E998C5364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8" name="TextBox 1">
          <a:extLst>
            <a:ext uri="{FF2B5EF4-FFF2-40B4-BE49-F238E27FC236}">
              <a16:creationId xmlns:a16="http://schemas.microsoft.com/office/drawing/2014/main" id="{EDEB72E9-98D8-4B89-8A8A-86F4299D920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9" name="TextBox 1">
          <a:extLst>
            <a:ext uri="{FF2B5EF4-FFF2-40B4-BE49-F238E27FC236}">
              <a16:creationId xmlns:a16="http://schemas.microsoft.com/office/drawing/2014/main" id="{719A1AEE-49C1-49AC-B81E-2F18E8373F4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0" name="TextBox 3099">
          <a:extLst>
            <a:ext uri="{FF2B5EF4-FFF2-40B4-BE49-F238E27FC236}">
              <a16:creationId xmlns:a16="http://schemas.microsoft.com/office/drawing/2014/main" id="{66B19CF1-3EA5-4EAD-82C2-D54A3F0CA5F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1" name="TextBox 3100">
          <a:extLst>
            <a:ext uri="{FF2B5EF4-FFF2-40B4-BE49-F238E27FC236}">
              <a16:creationId xmlns:a16="http://schemas.microsoft.com/office/drawing/2014/main" id="{A1668009-8E33-4A07-AF06-5C1B233F27C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2" name="TextBox 1">
          <a:extLst>
            <a:ext uri="{FF2B5EF4-FFF2-40B4-BE49-F238E27FC236}">
              <a16:creationId xmlns:a16="http://schemas.microsoft.com/office/drawing/2014/main" id="{3959FD50-E696-479A-9C6F-8D3A299EE56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3" name="TextBox 1">
          <a:extLst>
            <a:ext uri="{FF2B5EF4-FFF2-40B4-BE49-F238E27FC236}">
              <a16:creationId xmlns:a16="http://schemas.microsoft.com/office/drawing/2014/main" id="{D618C07F-FA0A-4259-84D7-8A800557FC7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4" name="TextBox 3103">
          <a:extLst>
            <a:ext uri="{FF2B5EF4-FFF2-40B4-BE49-F238E27FC236}">
              <a16:creationId xmlns:a16="http://schemas.microsoft.com/office/drawing/2014/main" id="{CE0B98C2-39BB-42D9-9DD4-EFF4F3ED5F7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5" name="TextBox 3104">
          <a:extLst>
            <a:ext uri="{FF2B5EF4-FFF2-40B4-BE49-F238E27FC236}">
              <a16:creationId xmlns:a16="http://schemas.microsoft.com/office/drawing/2014/main" id="{F82A2684-C404-4E80-86C1-C0E77356C89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6" name="TextBox 1">
          <a:extLst>
            <a:ext uri="{FF2B5EF4-FFF2-40B4-BE49-F238E27FC236}">
              <a16:creationId xmlns:a16="http://schemas.microsoft.com/office/drawing/2014/main" id="{19272693-73A9-4918-8280-B9830570803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7" name="TextBox 1">
          <a:extLst>
            <a:ext uri="{FF2B5EF4-FFF2-40B4-BE49-F238E27FC236}">
              <a16:creationId xmlns:a16="http://schemas.microsoft.com/office/drawing/2014/main" id="{59B9A370-D42A-4D2E-9BD9-00F8EEF7D10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8" name="TextBox 3107">
          <a:extLst>
            <a:ext uri="{FF2B5EF4-FFF2-40B4-BE49-F238E27FC236}">
              <a16:creationId xmlns:a16="http://schemas.microsoft.com/office/drawing/2014/main" id="{85C7C6AA-B4B6-43F2-A142-00E5D44EE6B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9" name="TextBox 3108">
          <a:extLst>
            <a:ext uri="{FF2B5EF4-FFF2-40B4-BE49-F238E27FC236}">
              <a16:creationId xmlns:a16="http://schemas.microsoft.com/office/drawing/2014/main" id="{1AE69EB4-4273-49FA-A942-AF8937AE508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0" name="TextBox 3109">
          <a:extLst>
            <a:ext uri="{FF2B5EF4-FFF2-40B4-BE49-F238E27FC236}">
              <a16:creationId xmlns:a16="http://schemas.microsoft.com/office/drawing/2014/main" id="{245BE3A5-DAF5-44DF-AF3A-4A7F288445B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1" name="TextBox 1">
          <a:extLst>
            <a:ext uri="{FF2B5EF4-FFF2-40B4-BE49-F238E27FC236}">
              <a16:creationId xmlns:a16="http://schemas.microsoft.com/office/drawing/2014/main" id="{4F99260A-0A3E-4086-80FD-57A8F1B66A7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2" name="TextBox 1">
          <a:extLst>
            <a:ext uri="{FF2B5EF4-FFF2-40B4-BE49-F238E27FC236}">
              <a16:creationId xmlns:a16="http://schemas.microsoft.com/office/drawing/2014/main" id="{1DC9FD3C-A51A-43EF-AB56-DC047302E5B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3" name="TextBox 3112">
          <a:extLst>
            <a:ext uri="{FF2B5EF4-FFF2-40B4-BE49-F238E27FC236}">
              <a16:creationId xmlns:a16="http://schemas.microsoft.com/office/drawing/2014/main" id="{E26BB3C9-A5E5-454C-A4C7-8A74CE8D72A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4" name="TextBox 3113">
          <a:extLst>
            <a:ext uri="{FF2B5EF4-FFF2-40B4-BE49-F238E27FC236}">
              <a16:creationId xmlns:a16="http://schemas.microsoft.com/office/drawing/2014/main" id="{E6A9EED9-6328-4097-AAEB-67951CCF9F5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5" name="TextBox 1">
          <a:extLst>
            <a:ext uri="{FF2B5EF4-FFF2-40B4-BE49-F238E27FC236}">
              <a16:creationId xmlns:a16="http://schemas.microsoft.com/office/drawing/2014/main" id="{94A375E0-0256-4333-AC17-62E922534FA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6" name="TextBox 1">
          <a:extLst>
            <a:ext uri="{FF2B5EF4-FFF2-40B4-BE49-F238E27FC236}">
              <a16:creationId xmlns:a16="http://schemas.microsoft.com/office/drawing/2014/main" id="{D14798A7-9318-4501-AC3D-5EB1D30DD6F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7" name="TextBox 3116">
          <a:extLst>
            <a:ext uri="{FF2B5EF4-FFF2-40B4-BE49-F238E27FC236}">
              <a16:creationId xmlns:a16="http://schemas.microsoft.com/office/drawing/2014/main" id="{42899ED4-2689-4129-97B2-D578EBDD8F6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8" name="TextBox 3117">
          <a:extLst>
            <a:ext uri="{FF2B5EF4-FFF2-40B4-BE49-F238E27FC236}">
              <a16:creationId xmlns:a16="http://schemas.microsoft.com/office/drawing/2014/main" id="{7DA1C588-DAB4-40F5-A63C-C651A39F36F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9" name="TextBox 1">
          <a:extLst>
            <a:ext uri="{FF2B5EF4-FFF2-40B4-BE49-F238E27FC236}">
              <a16:creationId xmlns:a16="http://schemas.microsoft.com/office/drawing/2014/main" id="{2C52B7B8-57F4-4EE4-819A-52EB1DF798F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0" name="TextBox 1">
          <a:extLst>
            <a:ext uri="{FF2B5EF4-FFF2-40B4-BE49-F238E27FC236}">
              <a16:creationId xmlns:a16="http://schemas.microsoft.com/office/drawing/2014/main" id="{1AFA8E04-BD73-4B72-B79D-3B95474A12C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1" name="TextBox 3120">
          <a:extLst>
            <a:ext uri="{FF2B5EF4-FFF2-40B4-BE49-F238E27FC236}">
              <a16:creationId xmlns:a16="http://schemas.microsoft.com/office/drawing/2014/main" id="{2009F243-F53E-447B-BAA1-75F5D32B77F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2" name="TextBox 3121">
          <a:extLst>
            <a:ext uri="{FF2B5EF4-FFF2-40B4-BE49-F238E27FC236}">
              <a16:creationId xmlns:a16="http://schemas.microsoft.com/office/drawing/2014/main" id="{E24B645F-9F73-4240-9F1E-CB97B50D1B3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3" name="TextBox 1">
          <a:extLst>
            <a:ext uri="{FF2B5EF4-FFF2-40B4-BE49-F238E27FC236}">
              <a16:creationId xmlns:a16="http://schemas.microsoft.com/office/drawing/2014/main" id="{0A13770C-0168-4EF6-9986-D519B8EFF48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4" name="TextBox 1">
          <a:extLst>
            <a:ext uri="{FF2B5EF4-FFF2-40B4-BE49-F238E27FC236}">
              <a16:creationId xmlns:a16="http://schemas.microsoft.com/office/drawing/2014/main" id="{E9F82EDF-184C-40E2-AFE4-BAD53E7A844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5" name="TextBox 3124">
          <a:extLst>
            <a:ext uri="{FF2B5EF4-FFF2-40B4-BE49-F238E27FC236}">
              <a16:creationId xmlns:a16="http://schemas.microsoft.com/office/drawing/2014/main" id="{8BEB382A-D000-4485-B775-3FC7D7FC9D6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6" name="TextBox 3125">
          <a:extLst>
            <a:ext uri="{FF2B5EF4-FFF2-40B4-BE49-F238E27FC236}">
              <a16:creationId xmlns:a16="http://schemas.microsoft.com/office/drawing/2014/main" id="{037D5C90-BB61-4F15-9648-F94AE555C8C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7" name="TextBox 1">
          <a:extLst>
            <a:ext uri="{FF2B5EF4-FFF2-40B4-BE49-F238E27FC236}">
              <a16:creationId xmlns:a16="http://schemas.microsoft.com/office/drawing/2014/main" id="{638DC967-79F6-4908-B1DC-0AA5605E1EE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8" name="TextBox 1">
          <a:extLst>
            <a:ext uri="{FF2B5EF4-FFF2-40B4-BE49-F238E27FC236}">
              <a16:creationId xmlns:a16="http://schemas.microsoft.com/office/drawing/2014/main" id="{015824D8-3472-4CD3-8E88-73368D056C1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9" name="TextBox 3128">
          <a:extLst>
            <a:ext uri="{FF2B5EF4-FFF2-40B4-BE49-F238E27FC236}">
              <a16:creationId xmlns:a16="http://schemas.microsoft.com/office/drawing/2014/main" id="{2718A2F4-DC2B-4BAE-AD62-F6206A9B2E7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0" name="TextBox 3129">
          <a:extLst>
            <a:ext uri="{FF2B5EF4-FFF2-40B4-BE49-F238E27FC236}">
              <a16:creationId xmlns:a16="http://schemas.microsoft.com/office/drawing/2014/main" id="{6565D3CD-50D0-4A01-AC32-7A902159A28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1" name="TextBox 1">
          <a:extLst>
            <a:ext uri="{FF2B5EF4-FFF2-40B4-BE49-F238E27FC236}">
              <a16:creationId xmlns:a16="http://schemas.microsoft.com/office/drawing/2014/main" id="{E668E853-5097-40A4-B55F-0FACD54AA07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2" name="TextBox 1">
          <a:extLst>
            <a:ext uri="{FF2B5EF4-FFF2-40B4-BE49-F238E27FC236}">
              <a16:creationId xmlns:a16="http://schemas.microsoft.com/office/drawing/2014/main" id="{DBA1723F-B12A-42AA-844A-2E04C81B64A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3" name="TextBox 3132">
          <a:extLst>
            <a:ext uri="{FF2B5EF4-FFF2-40B4-BE49-F238E27FC236}">
              <a16:creationId xmlns:a16="http://schemas.microsoft.com/office/drawing/2014/main" id="{9DFC4AE5-43CC-42EE-AAA9-806029A7209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4" name="TextBox 3133">
          <a:extLst>
            <a:ext uri="{FF2B5EF4-FFF2-40B4-BE49-F238E27FC236}">
              <a16:creationId xmlns:a16="http://schemas.microsoft.com/office/drawing/2014/main" id="{9A8AFE9E-08E7-4E1B-99B4-370780187BE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5" name="TextBox 1">
          <a:extLst>
            <a:ext uri="{FF2B5EF4-FFF2-40B4-BE49-F238E27FC236}">
              <a16:creationId xmlns:a16="http://schemas.microsoft.com/office/drawing/2014/main" id="{89BD473B-FD64-46F1-B054-5E2F3FABC5D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6" name="TextBox 1">
          <a:extLst>
            <a:ext uri="{FF2B5EF4-FFF2-40B4-BE49-F238E27FC236}">
              <a16:creationId xmlns:a16="http://schemas.microsoft.com/office/drawing/2014/main" id="{DF2E5DF0-39D2-4E41-8D66-1AD68952D8B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7" name="TextBox 3136">
          <a:extLst>
            <a:ext uri="{FF2B5EF4-FFF2-40B4-BE49-F238E27FC236}">
              <a16:creationId xmlns:a16="http://schemas.microsoft.com/office/drawing/2014/main" id="{61FB0D75-88D7-43B1-B910-913C76DF375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8" name="TextBox 3137">
          <a:extLst>
            <a:ext uri="{FF2B5EF4-FFF2-40B4-BE49-F238E27FC236}">
              <a16:creationId xmlns:a16="http://schemas.microsoft.com/office/drawing/2014/main" id="{77ECC563-9F6D-4729-98B8-C4E75A6BFC0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9" name="TextBox 1">
          <a:extLst>
            <a:ext uri="{FF2B5EF4-FFF2-40B4-BE49-F238E27FC236}">
              <a16:creationId xmlns:a16="http://schemas.microsoft.com/office/drawing/2014/main" id="{3967E1B1-89D0-4218-BCFB-544D6F9C9BA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0" name="TextBox 1">
          <a:extLst>
            <a:ext uri="{FF2B5EF4-FFF2-40B4-BE49-F238E27FC236}">
              <a16:creationId xmlns:a16="http://schemas.microsoft.com/office/drawing/2014/main" id="{D6CF59D3-3ED5-4ED9-A3BC-8BD12FD6DA3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1" name="TextBox 3140">
          <a:extLst>
            <a:ext uri="{FF2B5EF4-FFF2-40B4-BE49-F238E27FC236}">
              <a16:creationId xmlns:a16="http://schemas.microsoft.com/office/drawing/2014/main" id="{1476543A-6B53-4307-87F4-AFE194CFBAE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2" name="TextBox 3141">
          <a:extLst>
            <a:ext uri="{FF2B5EF4-FFF2-40B4-BE49-F238E27FC236}">
              <a16:creationId xmlns:a16="http://schemas.microsoft.com/office/drawing/2014/main" id="{C9DCED35-88EB-4FF0-96D2-4505A86275E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3" name="TextBox 1">
          <a:extLst>
            <a:ext uri="{FF2B5EF4-FFF2-40B4-BE49-F238E27FC236}">
              <a16:creationId xmlns:a16="http://schemas.microsoft.com/office/drawing/2014/main" id="{89CB55EC-1AED-4A75-8774-70D49D54FF6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4" name="TextBox 1">
          <a:extLst>
            <a:ext uri="{FF2B5EF4-FFF2-40B4-BE49-F238E27FC236}">
              <a16:creationId xmlns:a16="http://schemas.microsoft.com/office/drawing/2014/main" id="{5AD072F5-D548-4C6D-A0D1-5A41BDE6CC6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5" name="TextBox 3144">
          <a:extLst>
            <a:ext uri="{FF2B5EF4-FFF2-40B4-BE49-F238E27FC236}">
              <a16:creationId xmlns:a16="http://schemas.microsoft.com/office/drawing/2014/main" id="{E296FB90-EBC7-41D4-AF8F-F91FF7681EE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6" name="TextBox 3145">
          <a:extLst>
            <a:ext uri="{FF2B5EF4-FFF2-40B4-BE49-F238E27FC236}">
              <a16:creationId xmlns:a16="http://schemas.microsoft.com/office/drawing/2014/main" id="{F6EC6101-1427-437B-8EE9-29F8287B408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7" name="TextBox 1">
          <a:extLst>
            <a:ext uri="{FF2B5EF4-FFF2-40B4-BE49-F238E27FC236}">
              <a16:creationId xmlns:a16="http://schemas.microsoft.com/office/drawing/2014/main" id="{F54E266F-ACE0-4E08-BE28-AE7C6E5217B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8" name="TextBox 1">
          <a:extLst>
            <a:ext uri="{FF2B5EF4-FFF2-40B4-BE49-F238E27FC236}">
              <a16:creationId xmlns:a16="http://schemas.microsoft.com/office/drawing/2014/main" id="{2ED864AA-6B35-485C-92D7-9029067ACA0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9" name="TextBox 3148">
          <a:extLst>
            <a:ext uri="{FF2B5EF4-FFF2-40B4-BE49-F238E27FC236}">
              <a16:creationId xmlns:a16="http://schemas.microsoft.com/office/drawing/2014/main" id="{B0BA1056-B689-4F20-B30A-68EFF2C4DDA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0" name="TextBox 3149">
          <a:extLst>
            <a:ext uri="{FF2B5EF4-FFF2-40B4-BE49-F238E27FC236}">
              <a16:creationId xmlns:a16="http://schemas.microsoft.com/office/drawing/2014/main" id="{7BC88066-3440-4C6A-A5B3-6CFAD35A328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1" name="TextBox 1">
          <a:extLst>
            <a:ext uri="{FF2B5EF4-FFF2-40B4-BE49-F238E27FC236}">
              <a16:creationId xmlns:a16="http://schemas.microsoft.com/office/drawing/2014/main" id="{F6F9083C-565E-4B37-85E1-6024954A13D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2" name="TextBox 1">
          <a:extLst>
            <a:ext uri="{FF2B5EF4-FFF2-40B4-BE49-F238E27FC236}">
              <a16:creationId xmlns:a16="http://schemas.microsoft.com/office/drawing/2014/main" id="{B865717B-7D8B-4831-9922-305A829344D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3" name="TextBox 3152">
          <a:extLst>
            <a:ext uri="{FF2B5EF4-FFF2-40B4-BE49-F238E27FC236}">
              <a16:creationId xmlns:a16="http://schemas.microsoft.com/office/drawing/2014/main" id="{11436D68-6990-4074-BCD4-61FFF11D8F7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4" name="TextBox 3153">
          <a:extLst>
            <a:ext uri="{FF2B5EF4-FFF2-40B4-BE49-F238E27FC236}">
              <a16:creationId xmlns:a16="http://schemas.microsoft.com/office/drawing/2014/main" id="{615C8003-ED56-48E9-8ED8-5CC12F1A6B6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5" name="TextBox 3154">
          <a:extLst>
            <a:ext uri="{FF2B5EF4-FFF2-40B4-BE49-F238E27FC236}">
              <a16:creationId xmlns:a16="http://schemas.microsoft.com/office/drawing/2014/main" id="{4A9D9446-DB0B-4A12-B65A-3C9CF659784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6" name="TextBox 1">
          <a:extLst>
            <a:ext uri="{FF2B5EF4-FFF2-40B4-BE49-F238E27FC236}">
              <a16:creationId xmlns:a16="http://schemas.microsoft.com/office/drawing/2014/main" id="{8ED5E6F0-03FA-4908-8DE1-CEF3DC3BD7E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7" name="TextBox 1">
          <a:extLst>
            <a:ext uri="{FF2B5EF4-FFF2-40B4-BE49-F238E27FC236}">
              <a16:creationId xmlns:a16="http://schemas.microsoft.com/office/drawing/2014/main" id="{010C496D-3581-4111-9872-47B64B4C280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8" name="TextBox 3157">
          <a:extLst>
            <a:ext uri="{FF2B5EF4-FFF2-40B4-BE49-F238E27FC236}">
              <a16:creationId xmlns:a16="http://schemas.microsoft.com/office/drawing/2014/main" id="{70E784B2-B94D-45B4-9F0A-ABE59797CCC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9" name="TextBox 3158">
          <a:extLst>
            <a:ext uri="{FF2B5EF4-FFF2-40B4-BE49-F238E27FC236}">
              <a16:creationId xmlns:a16="http://schemas.microsoft.com/office/drawing/2014/main" id="{319AD21E-2FA0-4A35-B072-BD665047CAD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0" name="TextBox 1">
          <a:extLst>
            <a:ext uri="{FF2B5EF4-FFF2-40B4-BE49-F238E27FC236}">
              <a16:creationId xmlns:a16="http://schemas.microsoft.com/office/drawing/2014/main" id="{74FFD99F-4FFA-44C0-9ABE-04D8F18BE6A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1" name="TextBox 1">
          <a:extLst>
            <a:ext uri="{FF2B5EF4-FFF2-40B4-BE49-F238E27FC236}">
              <a16:creationId xmlns:a16="http://schemas.microsoft.com/office/drawing/2014/main" id="{7E5D7CDF-D3FB-4B31-B281-A6BE61A1E89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2" name="TextBox 3161">
          <a:extLst>
            <a:ext uri="{FF2B5EF4-FFF2-40B4-BE49-F238E27FC236}">
              <a16:creationId xmlns:a16="http://schemas.microsoft.com/office/drawing/2014/main" id="{AB788816-2A76-46A5-81CA-770E798763D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3" name="TextBox 3162">
          <a:extLst>
            <a:ext uri="{FF2B5EF4-FFF2-40B4-BE49-F238E27FC236}">
              <a16:creationId xmlns:a16="http://schemas.microsoft.com/office/drawing/2014/main" id="{A2301C3E-1F1E-4D32-A6E5-382DB4C5F20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4" name="TextBox 1">
          <a:extLst>
            <a:ext uri="{FF2B5EF4-FFF2-40B4-BE49-F238E27FC236}">
              <a16:creationId xmlns:a16="http://schemas.microsoft.com/office/drawing/2014/main" id="{55BB2B8F-463B-407C-BAB5-944409CE244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5" name="TextBox 1">
          <a:extLst>
            <a:ext uri="{FF2B5EF4-FFF2-40B4-BE49-F238E27FC236}">
              <a16:creationId xmlns:a16="http://schemas.microsoft.com/office/drawing/2014/main" id="{9B5C944B-5B18-4528-9AB1-0060263D23F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6" name="TextBox 3165">
          <a:extLst>
            <a:ext uri="{FF2B5EF4-FFF2-40B4-BE49-F238E27FC236}">
              <a16:creationId xmlns:a16="http://schemas.microsoft.com/office/drawing/2014/main" id="{4D364E1B-FEB4-4CA9-8BF4-72C1DB6DDB1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7" name="TextBox 3166">
          <a:extLst>
            <a:ext uri="{FF2B5EF4-FFF2-40B4-BE49-F238E27FC236}">
              <a16:creationId xmlns:a16="http://schemas.microsoft.com/office/drawing/2014/main" id="{B6F6C4BA-BD6B-4B30-9816-DE9AD37261D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8" name="TextBox 1">
          <a:extLst>
            <a:ext uri="{FF2B5EF4-FFF2-40B4-BE49-F238E27FC236}">
              <a16:creationId xmlns:a16="http://schemas.microsoft.com/office/drawing/2014/main" id="{81EED7BD-4A81-4861-B8D9-6A0A1E39257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9" name="TextBox 1">
          <a:extLst>
            <a:ext uri="{FF2B5EF4-FFF2-40B4-BE49-F238E27FC236}">
              <a16:creationId xmlns:a16="http://schemas.microsoft.com/office/drawing/2014/main" id="{9F36F93D-BE80-4C4F-9D4C-5E06399CA12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0" name="TextBox 3169">
          <a:extLst>
            <a:ext uri="{FF2B5EF4-FFF2-40B4-BE49-F238E27FC236}">
              <a16:creationId xmlns:a16="http://schemas.microsoft.com/office/drawing/2014/main" id="{A5FB8764-2032-4D61-B2F6-C7F125CFF5F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1" name="TextBox 3170">
          <a:extLst>
            <a:ext uri="{FF2B5EF4-FFF2-40B4-BE49-F238E27FC236}">
              <a16:creationId xmlns:a16="http://schemas.microsoft.com/office/drawing/2014/main" id="{693735B1-CE20-4736-BB4C-84D64AC416B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2" name="TextBox 1">
          <a:extLst>
            <a:ext uri="{FF2B5EF4-FFF2-40B4-BE49-F238E27FC236}">
              <a16:creationId xmlns:a16="http://schemas.microsoft.com/office/drawing/2014/main" id="{DEC2DD9B-B42C-4158-82F2-7E838993240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3" name="TextBox 1">
          <a:extLst>
            <a:ext uri="{FF2B5EF4-FFF2-40B4-BE49-F238E27FC236}">
              <a16:creationId xmlns:a16="http://schemas.microsoft.com/office/drawing/2014/main" id="{E419EA11-F4BF-4343-B9FB-569482D7240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4" name="TextBox 3173">
          <a:extLst>
            <a:ext uri="{FF2B5EF4-FFF2-40B4-BE49-F238E27FC236}">
              <a16:creationId xmlns:a16="http://schemas.microsoft.com/office/drawing/2014/main" id="{EB97C4B8-B3F4-468B-B23A-498973B2A57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5" name="TextBox 3174">
          <a:extLst>
            <a:ext uri="{FF2B5EF4-FFF2-40B4-BE49-F238E27FC236}">
              <a16:creationId xmlns:a16="http://schemas.microsoft.com/office/drawing/2014/main" id="{33275CFB-D5CB-4DBB-AC45-CD4B9E0504D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6" name="TextBox 1">
          <a:extLst>
            <a:ext uri="{FF2B5EF4-FFF2-40B4-BE49-F238E27FC236}">
              <a16:creationId xmlns:a16="http://schemas.microsoft.com/office/drawing/2014/main" id="{E0309857-FF7A-40CE-B18C-14818D8C6F7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7" name="TextBox 1">
          <a:extLst>
            <a:ext uri="{FF2B5EF4-FFF2-40B4-BE49-F238E27FC236}">
              <a16:creationId xmlns:a16="http://schemas.microsoft.com/office/drawing/2014/main" id="{C37DAB56-E93F-45F4-BBAD-C8EF091CE26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8" name="TextBox 3177">
          <a:extLst>
            <a:ext uri="{FF2B5EF4-FFF2-40B4-BE49-F238E27FC236}">
              <a16:creationId xmlns:a16="http://schemas.microsoft.com/office/drawing/2014/main" id="{65F90DFE-B7AC-46A1-B09E-3F76CC732A5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9" name="TextBox 3178">
          <a:extLst>
            <a:ext uri="{FF2B5EF4-FFF2-40B4-BE49-F238E27FC236}">
              <a16:creationId xmlns:a16="http://schemas.microsoft.com/office/drawing/2014/main" id="{1F362C82-CA73-40F5-883C-2E0A80F25A2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0" name="TextBox 1">
          <a:extLst>
            <a:ext uri="{FF2B5EF4-FFF2-40B4-BE49-F238E27FC236}">
              <a16:creationId xmlns:a16="http://schemas.microsoft.com/office/drawing/2014/main" id="{84CA404D-95A4-408B-88DB-E548D1FD85F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1" name="TextBox 1">
          <a:extLst>
            <a:ext uri="{FF2B5EF4-FFF2-40B4-BE49-F238E27FC236}">
              <a16:creationId xmlns:a16="http://schemas.microsoft.com/office/drawing/2014/main" id="{1FE78536-F9FA-48AD-8FC5-445E75FE952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2" name="TextBox 3181">
          <a:extLst>
            <a:ext uri="{FF2B5EF4-FFF2-40B4-BE49-F238E27FC236}">
              <a16:creationId xmlns:a16="http://schemas.microsoft.com/office/drawing/2014/main" id="{C0041045-3A94-430F-826C-1D60998E679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3" name="TextBox 3182">
          <a:extLst>
            <a:ext uri="{FF2B5EF4-FFF2-40B4-BE49-F238E27FC236}">
              <a16:creationId xmlns:a16="http://schemas.microsoft.com/office/drawing/2014/main" id="{62D3AE4F-AB75-4064-BE2A-0B404321DCF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4" name="TextBox 1">
          <a:extLst>
            <a:ext uri="{FF2B5EF4-FFF2-40B4-BE49-F238E27FC236}">
              <a16:creationId xmlns:a16="http://schemas.microsoft.com/office/drawing/2014/main" id="{EC3B786C-7764-44B9-93CA-A369B283CAC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5" name="TextBox 1">
          <a:extLst>
            <a:ext uri="{FF2B5EF4-FFF2-40B4-BE49-F238E27FC236}">
              <a16:creationId xmlns:a16="http://schemas.microsoft.com/office/drawing/2014/main" id="{14DF5974-9DC4-48CE-8E3B-5F35C97C0B6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6" name="TextBox 3185">
          <a:extLst>
            <a:ext uri="{FF2B5EF4-FFF2-40B4-BE49-F238E27FC236}">
              <a16:creationId xmlns:a16="http://schemas.microsoft.com/office/drawing/2014/main" id="{86A13496-90E4-4BED-A9A0-BE03393FBE0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7" name="TextBox 3186">
          <a:extLst>
            <a:ext uri="{FF2B5EF4-FFF2-40B4-BE49-F238E27FC236}">
              <a16:creationId xmlns:a16="http://schemas.microsoft.com/office/drawing/2014/main" id="{8D95F79B-213B-4E0F-88B9-2951ABD780D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8" name="TextBox 1">
          <a:extLst>
            <a:ext uri="{FF2B5EF4-FFF2-40B4-BE49-F238E27FC236}">
              <a16:creationId xmlns:a16="http://schemas.microsoft.com/office/drawing/2014/main" id="{1E666F81-9C62-46EB-A1ED-73DBF11C308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9" name="TextBox 1">
          <a:extLst>
            <a:ext uri="{FF2B5EF4-FFF2-40B4-BE49-F238E27FC236}">
              <a16:creationId xmlns:a16="http://schemas.microsoft.com/office/drawing/2014/main" id="{CA9B26AF-4FC3-40F0-8C62-48EBB9C7226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0" name="TextBox 3189">
          <a:extLst>
            <a:ext uri="{FF2B5EF4-FFF2-40B4-BE49-F238E27FC236}">
              <a16:creationId xmlns:a16="http://schemas.microsoft.com/office/drawing/2014/main" id="{3C642712-2E73-4861-941B-87CA5C90B4B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1" name="TextBox 1">
          <a:extLst>
            <a:ext uri="{FF2B5EF4-FFF2-40B4-BE49-F238E27FC236}">
              <a16:creationId xmlns:a16="http://schemas.microsoft.com/office/drawing/2014/main" id="{C94CE9C5-0692-4A2C-A2B4-8358175430E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2" name="TextBox 1">
          <a:extLst>
            <a:ext uri="{FF2B5EF4-FFF2-40B4-BE49-F238E27FC236}">
              <a16:creationId xmlns:a16="http://schemas.microsoft.com/office/drawing/2014/main" id="{4BCDAF63-DA15-47F3-8D92-F91FDB6F3B2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3" name="TextBox 3192">
          <a:extLst>
            <a:ext uri="{FF2B5EF4-FFF2-40B4-BE49-F238E27FC236}">
              <a16:creationId xmlns:a16="http://schemas.microsoft.com/office/drawing/2014/main" id="{EFFA4F79-AC14-4E5F-BBF6-33A8641BAB1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4" name="TextBox 1">
          <a:extLst>
            <a:ext uri="{FF2B5EF4-FFF2-40B4-BE49-F238E27FC236}">
              <a16:creationId xmlns:a16="http://schemas.microsoft.com/office/drawing/2014/main" id="{DCBC17C6-0369-4F2A-9D7A-5ECC13A732D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5" name="TextBox 3194">
          <a:extLst>
            <a:ext uri="{FF2B5EF4-FFF2-40B4-BE49-F238E27FC236}">
              <a16:creationId xmlns:a16="http://schemas.microsoft.com/office/drawing/2014/main" id="{F8B510D9-1794-4857-9B8D-0BC4247C7B9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6" name="TextBox 1">
          <a:extLst>
            <a:ext uri="{FF2B5EF4-FFF2-40B4-BE49-F238E27FC236}">
              <a16:creationId xmlns:a16="http://schemas.microsoft.com/office/drawing/2014/main" id="{0CE1F0DB-B76F-400A-885F-3B8877DFFC4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7" name="TextBox 1">
          <a:extLst>
            <a:ext uri="{FF2B5EF4-FFF2-40B4-BE49-F238E27FC236}">
              <a16:creationId xmlns:a16="http://schemas.microsoft.com/office/drawing/2014/main" id="{0234C9B2-6ECF-488C-9C6F-A39BF1A630B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8" name="TextBox 3197">
          <a:extLst>
            <a:ext uri="{FF2B5EF4-FFF2-40B4-BE49-F238E27FC236}">
              <a16:creationId xmlns:a16="http://schemas.microsoft.com/office/drawing/2014/main" id="{1E7397AC-E4AC-42AD-936A-E0462A79DD2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9" name="TextBox 3198">
          <a:extLst>
            <a:ext uri="{FF2B5EF4-FFF2-40B4-BE49-F238E27FC236}">
              <a16:creationId xmlns:a16="http://schemas.microsoft.com/office/drawing/2014/main" id="{139A3554-C3D6-4B2C-A8C3-9B7AA89DBF7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0" name="TextBox 1">
          <a:extLst>
            <a:ext uri="{FF2B5EF4-FFF2-40B4-BE49-F238E27FC236}">
              <a16:creationId xmlns:a16="http://schemas.microsoft.com/office/drawing/2014/main" id="{7D209B33-ED43-406C-AAC0-87E1D7225F9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1" name="TextBox 1">
          <a:extLst>
            <a:ext uri="{FF2B5EF4-FFF2-40B4-BE49-F238E27FC236}">
              <a16:creationId xmlns:a16="http://schemas.microsoft.com/office/drawing/2014/main" id="{6C580C2D-6AE3-400F-9AD5-0236FDF7CB3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2" name="TextBox 3201">
          <a:extLst>
            <a:ext uri="{FF2B5EF4-FFF2-40B4-BE49-F238E27FC236}">
              <a16:creationId xmlns:a16="http://schemas.microsoft.com/office/drawing/2014/main" id="{6DB4E57B-EAA7-4886-BD70-EDBCBFA6D26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3" name="TextBox 3202">
          <a:extLst>
            <a:ext uri="{FF2B5EF4-FFF2-40B4-BE49-F238E27FC236}">
              <a16:creationId xmlns:a16="http://schemas.microsoft.com/office/drawing/2014/main" id="{A82B3395-9B08-445F-90DF-3010B99B774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4" name="TextBox 3203">
          <a:extLst>
            <a:ext uri="{FF2B5EF4-FFF2-40B4-BE49-F238E27FC236}">
              <a16:creationId xmlns:a16="http://schemas.microsoft.com/office/drawing/2014/main" id="{14E1D72C-DF67-4E50-A5CD-106D591E972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5" name="TextBox 1">
          <a:extLst>
            <a:ext uri="{FF2B5EF4-FFF2-40B4-BE49-F238E27FC236}">
              <a16:creationId xmlns:a16="http://schemas.microsoft.com/office/drawing/2014/main" id="{9C7E0EF1-B97C-43F3-AE26-8B0BAB02D24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6" name="TextBox 1">
          <a:extLst>
            <a:ext uri="{FF2B5EF4-FFF2-40B4-BE49-F238E27FC236}">
              <a16:creationId xmlns:a16="http://schemas.microsoft.com/office/drawing/2014/main" id="{9EDFB829-ECB5-4EAD-8362-E611CD01349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7" name="TextBox 3206">
          <a:extLst>
            <a:ext uri="{FF2B5EF4-FFF2-40B4-BE49-F238E27FC236}">
              <a16:creationId xmlns:a16="http://schemas.microsoft.com/office/drawing/2014/main" id="{067AFBF9-C6A7-498D-84B9-B037F4F2B0E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8" name="TextBox 3207">
          <a:extLst>
            <a:ext uri="{FF2B5EF4-FFF2-40B4-BE49-F238E27FC236}">
              <a16:creationId xmlns:a16="http://schemas.microsoft.com/office/drawing/2014/main" id="{AB739E7A-9340-4186-AE25-A04BE19CF07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9" name="TextBox 1">
          <a:extLst>
            <a:ext uri="{FF2B5EF4-FFF2-40B4-BE49-F238E27FC236}">
              <a16:creationId xmlns:a16="http://schemas.microsoft.com/office/drawing/2014/main" id="{F8876195-93CB-439A-BB90-E97DEF8D810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0" name="TextBox 1">
          <a:extLst>
            <a:ext uri="{FF2B5EF4-FFF2-40B4-BE49-F238E27FC236}">
              <a16:creationId xmlns:a16="http://schemas.microsoft.com/office/drawing/2014/main" id="{4656F044-1CC5-421B-A10C-FE5999CAD52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1" name="TextBox 3210">
          <a:extLst>
            <a:ext uri="{FF2B5EF4-FFF2-40B4-BE49-F238E27FC236}">
              <a16:creationId xmlns:a16="http://schemas.microsoft.com/office/drawing/2014/main" id="{BB934C55-2F65-4110-9D94-278347FC52C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2" name="TextBox 3211">
          <a:extLst>
            <a:ext uri="{FF2B5EF4-FFF2-40B4-BE49-F238E27FC236}">
              <a16:creationId xmlns:a16="http://schemas.microsoft.com/office/drawing/2014/main" id="{821EB7DE-BC93-4001-AA48-4C53F9F7217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3" name="TextBox 1">
          <a:extLst>
            <a:ext uri="{FF2B5EF4-FFF2-40B4-BE49-F238E27FC236}">
              <a16:creationId xmlns:a16="http://schemas.microsoft.com/office/drawing/2014/main" id="{3EB2C582-A16E-4A38-B964-20183801B45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4" name="TextBox 1">
          <a:extLst>
            <a:ext uri="{FF2B5EF4-FFF2-40B4-BE49-F238E27FC236}">
              <a16:creationId xmlns:a16="http://schemas.microsoft.com/office/drawing/2014/main" id="{AD9EDF51-6CE1-474E-A6E6-13BE6F16050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5" name="TextBox 3214">
          <a:extLst>
            <a:ext uri="{FF2B5EF4-FFF2-40B4-BE49-F238E27FC236}">
              <a16:creationId xmlns:a16="http://schemas.microsoft.com/office/drawing/2014/main" id="{B9A3BCE2-A92B-4932-9018-EC404D75630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6" name="TextBox 3215">
          <a:extLst>
            <a:ext uri="{FF2B5EF4-FFF2-40B4-BE49-F238E27FC236}">
              <a16:creationId xmlns:a16="http://schemas.microsoft.com/office/drawing/2014/main" id="{FB1D51C5-9D3A-4D83-972C-7C474108C9F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7" name="TextBox 1">
          <a:extLst>
            <a:ext uri="{FF2B5EF4-FFF2-40B4-BE49-F238E27FC236}">
              <a16:creationId xmlns:a16="http://schemas.microsoft.com/office/drawing/2014/main" id="{50CF550F-6644-4403-B5E0-778BBB8A70C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8" name="TextBox 1">
          <a:extLst>
            <a:ext uri="{FF2B5EF4-FFF2-40B4-BE49-F238E27FC236}">
              <a16:creationId xmlns:a16="http://schemas.microsoft.com/office/drawing/2014/main" id="{EB89B2C7-ED78-4301-84CD-46EAC52A406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9" name="TextBox 3218">
          <a:extLst>
            <a:ext uri="{FF2B5EF4-FFF2-40B4-BE49-F238E27FC236}">
              <a16:creationId xmlns:a16="http://schemas.microsoft.com/office/drawing/2014/main" id="{A62148B9-8410-4AC8-B11F-79DBDC0A609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0" name="TextBox 3219">
          <a:extLst>
            <a:ext uri="{FF2B5EF4-FFF2-40B4-BE49-F238E27FC236}">
              <a16:creationId xmlns:a16="http://schemas.microsoft.com/office/drawing/2014/main" id="{930DB06C-6CCE-4AC7-AA0A-CFC91118F64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1" name="TextBox 1">
          <a:extLst>
            <a:ext uri="{FF2B5EF4-FFF2-40B4-BE49-F238E27FC236}">
              <a16:creationId xmlns:a16="http://schemas.microsoft.com/office/drawing/2014/main" id="{E0CAD423-0DDB-4CD0-AACB-D68B5E58D29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2" name="TextBox 1">
          <a:extLst>
            <a:ext uri="{FF2B5EF4-FFF2-40B4-BE49-F238E27FC236}">
              <a16:creationId xmlns:a16="http://schemas.microsoft.com/office/drawing/2014/main" id="{35B3142B-6334-4E5A-9C05-36257301DC9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3" name="TextBox 3222">
          <a:extLst>
            <a:ext uri="{FF2B5EF4-FFF2-40B4-BE49-F238E27FC236}">
              <a16:creationId xmlns:a16="http://schemas.microsoft.com/office/drawing/2014/main" id="{0E5918B7-1C06-4B85-B405-3CFDC856829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4" name="TextBox 3223">
          <a:extLst>
            <a:ext uri="{FF2B5EF4-FFF2-40B4-BE49-F238E27FC236}">
              <a16:creationId xmlns:a16="http://schemas.microsoft.com/office/drawing/2014/main" id="{F818C1EC-F4D2-424A-B7D9-DB67647EBF3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5" name="TextBox 1">
          <a:extLst>
            <a:ext uri="{FF2B5EF4-FFF2-40B4-BE49-F238E27FC236}">
              <a16:creationId xmlns:a16="http://schemas.microsoft.com/office/drawing/2014/main" id="{7376CE60-1018-481F-826A-6E61CFD50B9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6" name="TextBox 1">
          <a:extLst>
            <a:ext uri="{FF2B5EF4-FFF2-40B4-BE49-F238E27FC236}">
              <a16:creationId xmlns:a16="http://schemas.microsoft.com/office/drawing/2014/main" id="{189CC60C-3FA3-420A-BE58-C7FD7A64B88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7" name="TextBox 3226">
          <a:extLst>
            <a:ext uri="{FF2B5EF4-FFF2-40B4-BE49-F238E27FC236}">
              <a16:creationId xmlns:a16="http://schemas.microsoft.com/office/drawing/2014/main" id="{EE8BF966-AA39-4F8F-A83F-F79313CB7B1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8" name="TextBox 3227">
          <a:extLst>
            <a:ext uri="{FF2B5EF4-FFF2-40B4-BE49-F238E27FC236}">
              <a16:creationId xmlns:a16="http://schemas.microsoft.com/office/drawing/2014/main" id="{C1009FF6-3C78-4E23-84B9-B3581FA0366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9" name="TextBox 1">
          <a:extLst>
            <a:ext uri="{FF2B5EF4-FFF2-40B4-BE49-F238E27FC236}">
              <a16:creationId xmlns:a16="http://schemas.microsoft.com/office/drawing/2014/main" id="{9E59D19D-A70E-42D9-8CD4-4CF539531DE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0" name="TextBox 1">
          <a:extLst>
            <a:ext uri="{FF2B5EF4-FFF2-40B4-BE49-F238E27FC236}">
              <a16:creationId xmlns:a16="http://schemas.microsoft.com/office/drawing/2014/main" id="{9BE43A77-0EF5-4832-9B83-97511DC9BFC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1" name="TextBox 3230">
          <a:extLst>
            <a:ext uri="{FF2B5EF4-FFF2-40B4-BE49-F238E27FC236}">
              <a16:creationId xmlns:a16="http://schemas.microsoft.com/office/drawing/2014/main" id="{BFAEC382-0652-4CB6-AE14-B433905E82A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2" name="TextBox 3231">
          <a:extLst>
            <a:ext uri="{FF2B5EF4-FFF2-40B4-BE49-F238E27FC236}">
              <a16:creationId xmlns:a16="http://schemas.microsoft.com/office/drawing/2014/main" id="{51CB81BE-6AE9-43B0-B8B3-57FD73D80C7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3" name="TextBox 1">
          <a:extLst>
            <a:ext uri="{FF2B5EF4-FFF2-40B4-BE49-F238E27FC236}">
              <a16:creationId xmlns:a16="http://schemas.microsoft.com/office/drawing/2014/main" id="{8078686C-49C2-4FAB-A5ED-A8502734DA8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4" name="TextBox 1">
          <a:extLst>
            <a:ext uri="{FF2B5EF4-FFF2-40B4-BE49-F238E27FC236}">
              <a16:creationId xmlns:a16="http://schemas.microsoft.com/office/drawing/2014/main" id="{8EAF5740-D738-4C3A-BDF1-030E0141F34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5" name="TextBox 3234">
          <a:extLst>
            <a:ext uri="{FF2B5EF4-FFF2-40B4-BE49-F238E27FC236}">
              <a16:creationId xmlns:a16="http://schemas.microsoft.com/office/drawing/2014/main" id="{C964F820-9CE2-498C-8BAA-E3163BC1E0A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6" name="TextBox 3235">
          <a:extLst>
            <a:ext uri="{FF2B5EF4-FFF2-40B4-BE49-F238E27FC236}">
              <a16:creationId xmlns:a16="http://schemas.microsoft.com/office/drawing/2014/main" id="{BFE162A2-16C6-4706-A2A3-6813134A67B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7" name="TextBox 1">
          <a:extLst>
            <a:ext uri="{FF2B5EF4-FFF2-40B4-BE49-F238E27FC236}">
              <a16:creationId xmlns:a16="http://schemas.microsoft.com/office/drawing/2014/main" id="{1D9ED9ED-A7F5-49A4-8D52-DE10F1C9C2F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8" name="TextBox 1">
          <a:extLst>
            <a:ext uri="{FF2B5EF4-FFF2-40B4-BE49-F238E27FC236}">
              <a16:creationId xmlns:a16="http://schemas.microsoft.com/office/drawing/2014/main" id="{59C9D67A-67B2-4BA3-8D54-9AC7A8555B6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9" name="TextBox 3238">
          <a:extLst>
            <a:ext uri="{FF2B5EF4-FFF2-40B4-BE49-F238E27FC236}">
              <a16:creationId xmlns:a16="http://schemas.microsoft.com/office/drawing/2014/main" id="{EC235F17-2CC7-4406-B483-1A9566C8E87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0" name="TextBox 3239">
          <a:extLst>
            <a:ext uri="{FF2B5EF4-FFF2-40B4-BE49-F238E27FC236}">
              <a16:creationId xmlns:a16="http://schemas.microsoft.com/office/drawing/2014/main" id="{6CE77024-F558-47FB-BD53-32F88410338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1" name="TextBox 3240">
          <a:extLst>
            <a:ext uri="{FF2B5EF4-FFF2-40B4-BE49-F238E27FC236}">
              <a16:creationId xmlns:a16="http://schemas.microsoft.com/office/drawing/2014/main" id="{35CA3A2B-A3D7-4F31-8CED-231825D2CDC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2" name="TextBox 1">
          <a:extLst>
            <a:ext uri="{FF2B5EF4-FFF2-40B4-BE49-F238E27FC236}">
              <a16:creationId xmlns:a16="http://schemas.microsoft.com/office/drawing/2014/main" id="{9778B12E-8D6B-4EF5-BC18-776F92A88B5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3" name="TextBox 1">
          <a:extLst>
            <a:ext uri="{FF2B5EF4-FFF2-40B4-BE49-F238E27FC236}">
              <a16:creationId xmlns:a16="http://schemas.microsoft.com/office/drawing/2014/main" id="{7B4F1DCC-387E-40B2-8B75-963868B02E9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4" name="TextBox 3243">
          <a:extLst>
            <a:ext uri="{FF2B5EF4-FFF2-40B4-BE49-F238E27FC236}">
              <a16:creationId xmlns:a16="http://schemas.microsoft.com/office/drawing/2014/main" id="{71D238F5-C0EA-429D-B839-A46B861FF03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5" name="TextBox 3244">
          <a:extLst>
            <a:ext uri="{FF2B5EF4-FFF2-40B4-BE49-F238E27FC236}">
              <a16:creationId xmlns:a16="http://schemas.microsoft.com/office/drawing/2014/main" id="{260B58C2-5B7E-4C2A-AB00-FB966986C55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6" name="TextBox 1">
          <a:extLst>
            <a:ext uri="{FF2B5EF4-FFF2-40B4-BE49-F238E27FC236}">
              <a16:creationId xmlns:a16="http://schemas.microsoft.com/office/drawing/2014/main" id="{8B0FB19C-8B15-49F0-B4AE-49E5E0B10E1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7" name="TextBox 1">
          <a:extLst>
            <a:ext uri="{FF2B5EF4-FFF2-40B4-BE49-F238E27FC236}">
              <a16:creationId xmlns:a16="http://schemas.microsoft.com/office/drawing/2014/main" id="{D451193C-5BD7-4A86-BAC8-2FF73A1103F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8" name="TextBox 3247">
          <a:extLst>
            <a:ext uri="{FF2B5EF4-FFF2-40B4-BE49-F238E27FC236}">
              <a16:creationId xmlns:a16="http://schemas.microsoft.com/office/drawing/2014/main" id="{451F76E9-9BDE-48CB-AFF4-1D3ECD85B00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9" name="TextBox 3248">
          <a:extLst>
            <a:ext uri="{FF2B5EF4-FFF2-40B4-BE49-F238E27FC236}">
              <a16:creationId xmlns:a16="http://schemas.microsoft.com/office/drawing/2014/main" id="{DD969DEC-6714-4E34-BE6B-8D5661146FB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0" name="TextBox 1">
          <a:extLst>
            <a:ext uri="{FF2B5EF4-FFF2-40B4-BE49-F238E27FC236}">
              <a16:creationId xmlns:a16="http://schemas.microsoft.com/office/drawing/2014/main" id="{DE378522-1BCC-4C78-9CBC-92CE0D7C14C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1" name="TextBox 1">
          <a:extLst>
            <a:ext uri="{FF2B5EF4-FFF2-40B4-BE49-F238E27FC236}">
              <a16:creationId xmlns:a16="http://schemas.microsoft.com/office/drawing/2014/main" id="{30906F6A-2E53-458A-BCF9-DF2BCBBBD09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2" name="TextBox 3251">
          <a:extLst>
            <a:ext uri="{FF2B5EF4-FFF2-40B4-BE49-F238E27FC236}">
              <a16:creationId xmlns:a16="http://schemas.microsoft.com/office/drawing/2014/main" id="{3735F817-A886-4875-9975-3208BEECADF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3" name="TextBox 3252">
          <a:extLst>
            <a:ext uri="{FF2B5EF4-FFF2-40B4-BE49-F238E27FC236}">
              <a16:creationId xmlns:a16="http://schemas.microsoft.com/office/drawing/2014/main" id="{474458E1-1394-48DA-BA01-FD2D16D842C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4" name="TextBox 1">
          <a:extLst>
            <a:ext uri="{FF2B5EF4-FFF2-40B4-BE49-F238E27FC236}">
              <a16:creationId xmlns:a16="http://schemas.microsoft.com/office/drawing/2014/main" id="{5405A7B5-D9D0-475F-9254-E642E0D42E4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5" name="TextBox 1">
          <a:extLst>
            <a:ext uri="{FF2B5EF4-FFF2-40B4-BE49-F238E27FC236}">
              <a16:creationId xmlns:a16="http://schemas.microsoft.com/office/drawing/2014/main" id="{B375A092-ACAA-491A-B50B-ADF2247F0BF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6" name="TextBox 3255">
          <a:extLst>
            <a:ext uri="{FF2B5EF4-FFF2-40B4-BE49-F238E27FC236}">
              <a16:creationId xmlns:a16="http://schemas.microsoft.com/office/drawing/2014/main" id="{772E7637-1CEB-4259-8B36-B4ECAC4BA0D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7" name="TextBox 3256">
          <a:extLst>
            <a:ext uri="{FF2B5EF4-FFF2-40B4-BE49-F238E27FC236}">
              <a16:creationId xmlns:a16="http://schemas.microsoft.com/office/drawing/2014/main" id="{0B2DF0A0-3001-41ED-BD55-5B189A077A2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8" name="TextBox 1">
          <a:extLst>
            <a:ext uri="{FF2B5EF4-FFF2-40B4-BE49-F238E27FC236}">
              <a16:creationId xmlns:a16="http://schemas.microsoft.com/office/drawing/2014/main" id="{5667E245-76A4-43D8-8047-FD203F329A7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9" name="TextBox 1">
          <a:extLst>
            <a:ext uri="{FF2B5EF4-FFF2-40B4-BE49-F238E27FC236}">
              <a16:creationId xmlns:a16="http://schemas.microsoft.com/office/drawing/2014/main" id="{166FA10B-957B-43B9-8B7D-EBDCFB629B9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0" name="TextBox 3259">
          <a:extLst>
            <a:ext uri="{FF2B5EF4-FFF2-40B4-BE49-F238E27FC236}">
              <a16:creationId xmlns:a16="http://schemas.microsoft.com/office/drawing/2014/main" id="{CAA4D0D0-9148-45AE-A9F9-106D1EBF975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1" name="TextBox 3260">
          <a:extLst>
            <a:ext uri="{FF2B5EF4-FFF2-40B4-BE49-F238E27FC236}">
              <a16:creationId xmlns:a16="http://schemas.microsoft.com/office/drawing/2014/main" id="{21B485C6-3517-41F2-AE86-0DFCC1A4C00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2" name="TextBox 1">
          <a:extLst>
            <a:ext uri="{FF2B5EF4-FFF2-40B4-BE49-F238E27FC236}">
              <a16:creationId xmlns:a16="http://schemas.microsoft.com/office/drawing/2014/main" id="{36B856AB-48E3-46E3-9771-3D5179FF317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3" name="TextBox 1">
          <a:extLst>
            <a:ext uri="{FF2B5EF4-FFF2-40B4-BE49-F238E27FC236}">
              <a16:creationId xmlns:a16="http://schemas.microsoft.com/office/drawing/2014/main" id="{FB6D606D-F032-4E0E-8520-43EC57147A8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4" name="TextBox 3263">
          <a:extLst>
            <a:ext uri="{FF2B5EF4-FFF2-40B4-BE49-F238E27FC236}">
              <a16:creationId xmlns:a16="http://schemas.microsoft.com/office/drawing/2014/main" id="{8F5D4D32-E1CE-49F7-BF05-FCB03E56F8B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5" name="TextBox 3264">
          <a:extLst>
            <a:ext uri="{FF2B5EF4-FFF2-40B4-BE49-F238E27FC236}">
              <a16:creationId xmlns:a16="http://schemas.microsoft.com/office/drawing/2014/main" id="{16CC961D-C2D7-4D65-B39D-BDE6576DBEE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6" name="TextBox 1">
          <a:extLst>
            <a:ext uri="{FF2B5EF4-FFF2-40B4-BE49-F238E27FC236}">
              <a16:creationId xmlns:a16="http://schemas.microsoft.com/office/drawing/2014/main" id="{5B3D94DD-6A2B-43FC-BE84-330C87A2E8E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7" name="TextBox 1">
          <a:extLst>
            <a:ext uri="{FF2B5EF4-FFF2-40B4-BE49-F238E27FC236}">
              <a16:creationId xmlns:a16="http://schemas.microsoft.com/office/drawing/2014/main" id="{BF03D00B-40C5-4B23-AF44-3D62B9EB821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8" name="TextBox 3267">
          <a:extLst>
            <a:ext uri="{FF2B5EF4-FFF2-40B4-BE49-F238E27FC236}">
              <a16:creationId xmlns:a16="http://schemas.microsoft.com/office/drawing/2014/main" id="{A7EA928F-D8D9-46CA-96BF-5EB7BB20E30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9" name="TextBox 3268">
          <a:extLst>
            <a:ext uri="{FF2B5EF4-FFF2-40B4-BE49-F238E27FC236}">
              <a16:creationId xmlns:a16="http://schemas.microsoft.com/office/drawing/2014/main" id="{D5EDAE5F-0DD6-4BE1-8FF5-C3D4332C5B6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0" name="TextBox 1">
          <a:extLst>
            <a:ext uri="{FF2B5EF4-FFF2-40B4-BE49-F238E27FC236}">
              <a16:creationId xmlns:a16="http://schemas.microsoft.com/office/drawing/2014/main" id="{FD1F8712-C417-460E-9B26-07FA3EFC2D0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1" name="TextBox 1">
          <a:extLst>
            <a:ext uri="{FF2B5EF4-FFF2-40B4-BE49-F238E27FC236}">
              <a16:creationId xmlns:a16="http://schemas.microsoft.com/office/drawing/2014/main" id="{84981D67-8952-4DD8-B988-61D6453A654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2" name="TextBox 3271">
          <a:extLst>
            <a:ext uri="{FF2B5EF4-FFF2-40B4-BE49-F238E27FC236}">
              <a16:creationId xmlns:a16="http://schemas.microsoft.com/office/drawing/2014/main" id="{5A988F5B-2A10-4213-BBAD-D3CD7216479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3" name="TextBox 3272">
          <a:extLst>
            <a:ext uri="{FF2B5EF4-FFF2-40B4-BE49-F238E27FC236}">
              <a16:creationId xmlns:a16="http://schemas.microsoft.com/office/drawing/2014/main" id="{1BB9945B-F1FD-4A38-86E8-0071FEC56DD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4" name="TextBox 1">
          <a:extLst>
            <a:ext uri="{FF2B5EF4-FFF2-40B4-BE49-F238E27FC236}">
              <a16:creationId xmlns:a16="http://schemas.microsoft.com/office/drawing/2014/main" id="{C3BA0051-A69F-4E32-8902-B287B2E1248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5" name="TextBox 1">
          <a:extLst>
            <a:ext uri="{FF2B5EF4-FFF2-40B4-BE49-F238E27FC236}">
              <a16:creationId xmlns:a16="http://schemas.microsoft.com/office/drawing/2014/main" id="{FE49BFDB-72A4-420D-8320-D5BF2A427BD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6" name="TextBox 3275">
          <a:extLst>
            <a:ext uri="{FF2B5EF4-FFF2-40B4-BE49-F238E27FC236}">
              <a16:creationId xmlns:a16="http://schemas.microsoft.com/office/drawing/2014/main" id="{DFBF72EA-9342-4464-9DD6-889F7CED958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7" name="TextBox 3276">
          <a:extLst>
            <a:ext uri="{FF2B5EF4-FFF2-40B4-BE49-F238E27FC236}">
              <a16:creationId xmlns:a16="http://schemas.microsoft.com/office/drawing/2014/main" id="{BA7AF0DA-15A0-4E61-B7DB-BF1931D883C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8" name="TextBox 1">
          <a:extLst>
            <a:ext uri="{FF2B5EF4-FFF2-40B4-BE49-F238E27FC236}">
              <a16:creationId xmlns:a16="http://schemas.microsoft.com/office/drawing/2014/main" id="{6B43B86C-4370-4C48-96AA-CE6A197FC6C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9" name="TextBox 1">
          <a:extLst>
            <a:ext uri="{FF2B5EF4-FFF2-40B4-BE49-F238E27FC236}">
              <a16:creationId xmlns:a16="http://schemas.microsoft.com/office/drawing/2014/main" id="{B99A7670-C49C-4580-B119-46254F41DA5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0" name="TextBox 3279">
          <a:extLst>
            <a:ext uri="{FF2B5EF4-FFF2-40B4-BE49-F238E27FC236}">
              <a16:creationId xmlns:a16="http://schemas.microsoft.com/office/drawing/2014/main" id="{A5353631-C7BF-4F5A-931E-B6EBFF84160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1" name="TextBox 3280">
          <a:extLst>
            <a:ext uri="{FF2B5EF4-FFF2-40B4-BE49-F238E27FC236}">
              <a16:creationId xmlns:a16="http://schemas.microsoft.com/office/drawing/2014/main" id="{44996209-360E-4D85-AA56-0FDF2086910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2" name="TextBox 1">
          <a:extLst>
            <a:ext uri="{FF2B5EF4-FFF2-40B4-BE49-F238E27FC236}">
              <a16:creationId xmlns:a16="http://schemas.microsoft.com/office/drawing/2014/main" id="{68F498B5-A4B7-4E49-931D-F42E06A9B18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3" name="TextBox 1">
          <a:extLst>
            <a:ext uri="{FF2B5EF4-FFF2-40B4-BE49-F238E27FC236}">
              <a16:creationId xmlns:a16="http://schemas.microsoft.com/office/drawing/2014/main" id="{7119E7EB-3313-4CD2-BF0B-C5AEB7E0E8F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4" name="TextBox 3283">
          <a:extLst>
            <a:ext uri="{FF2B5EF4-FFF2-40B4-BE49-F238E27FC236}">
              <a16:creationId xmlns:a16="http://schemas.microsoft.com/office/drawing/2014/main" id="{8D46F6D2-914A-46B6-A618-F7AFF234D9B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5" name="TextBox 3284">
          <a:extLst>
            <a:ext uri="{FF2B5EF4-FFF2-40B4-BE49-F238E27FC236}">
              <a16:creationId xmlns:a16="http://schemas.microsoft.com/office/drawing/2014/main" id="{480AFF3E-C5CC-4E60-9606-45859809612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6" name="TextBox 3285">
          <a:extLst>
            <a:ext uri="{FF2B5EF4-FFF2-40B4-BE49-F238E27FC236}">
              <a16:creationId xmlns:a16="http://schemas.microsoft.com/office/drawing/2014/main" id="{EDCE7279-BCC4-41A0-9ACF-A9901232DD5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7" name="TextBox 1">
          <a:extLst>
            <a:ext uri="{FF2B5EF4-FFF2-40B4-BE49-F238E27FC236}">
              <a16:creationId xmlns:a16="http://schemas.microsoft.com/office/drawing/2014/main" id="{BE3CB5C9-2CDD-4CEE-BBD4-6ACCC0FEB34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8" name="TextBox 1">
          <a:extLst>
            <a:ext uri="{FF2B5EF4-FFF2-40B4-BE49-F238E27FC236}">
              <a16:creationId xmlns:a16="http://schemas.microsoft.com/office/drawing/2014/main" id="{C12A1035-8D55-4ECF-8548-549A478D196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9" name="TextBox 3288">
          <a:extLst>
            <a:ext uri="{FF2B5EF4-FFF2-40B4-BE49-F238E27FC236}">
              <a16:creationId xmlns:a16="http://schemas.microsoft.com/office/drawing/2014/main" id="{73758BDA-1939-4332-8515-CB2BDA84F3C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0" name="TextBox 3289">
          <a:extLst>
            <a:ext uri="{FF2B5EF4-FFF2-40B4-BE49-F238E27FC236}">
              <a16:creationId xmlns:a16="http://schemas.microsoft.com/office/drawing/2014/main" id="{A75B3DCF-E539-4925-A33E-838C67F3B38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1" name="TextBox 1">
          <a:extLst>
            <a:ext uri="{FF2B5EF4-FFF2-40B4-BE49-F238E27FC236}">
              <a16:creationId xmlns:a16="http://schemas.microsoft.com/office/drawing/2014/main" id="{672261F5-596D-4CBC-A529-49CBBCC4CD5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2" name="TextBox 1">
          <a:extLst>
            <a:ext uri="{FF2B5EF4-FFF2-40B4-BE49-F238E27FC236}">
              <a16:creationId xmlns:a16="http://schemas.microsoft.com/office/drawing/2014/main" id="{878070B8-EEC1-4CD0-91DC-86F79CD18DD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3" name="TextBox 3292">
          <a:extLst>
            <a:ext uri="{FF2B5EF4-FFF2-40B4-BE49-F238E27FC236}">
              <a16:creationId xmlns:a16="http://schemas.microsoft.com/office/drawing/2014/main" id="{D864B09B-777F-47F3-B39A-618664127E2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4" name="TextBox 3293">
          <a:extLst>
            <a:ext uri="{FF2B5EF4-FFF2-40B4-BE49-F238E27FC236}">
              <a16:creationId xmlns:a16="http://schemas.microsoft.com/office/drawing/2014/main" id="{4F90600B-8675-4760-8CEF-F3A1D9D9546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5" name="TextBox 1">
          <a:extLst>
            <a:ext uri="{FF2B5EF4-FFF2-40B4-BE49-F238E27FC236}">
              <a16:creationId xmlns:a16="http://schemas.microsoft.com/office/drawing/2014/main" id="{403693B9-E2C1-4F92-A6DF-04C9D2DF2C9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6" name="TextBox 1">
          <a:extLst>
            <a:ext uri="{FF2B5EF4-FFF2-40B4-BE49-F238E27FC236}">
              <a16:creationId xmlns:a16="http://schemas.microsoft.com/office/drawing/2014/main" id="{64B76EA8-9CD3-4276-92D6-F98296F1A29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7" name="TextBox 3296">
          <a:extLst>
            <a:ext uri="{FF2B5EF4-FFF2-40B4-BE49-F238E27FC236}">
              <a16:creationId xmlns:a16="http://schemas.microsoft.com/office/drawing/2014/main" id="{B0398B00-AD90-4D2E-A213-5C96133CDA1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8" name="TextBox 3297">
          <a:extLst>
            <a:ext uri="{FF2B5EF4-FFF2-40B4-BE49-F238E27FC236}">
              <a16:creationId xmlns:a16="http://schemas.microsoft.com/office/drawing/2014/main" id="{17DAC320-5029-4235-AB6E-BE98AC7CC5C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9" name="TextBox 1">
          <a:extLst>
            <a:ext uri="{FF2B5EF4-FFF2-40B4-BE49-F238E27FC236}">
              <a16:creationId xmlns:a16="http://schemas.microsoft.com/office/drawing/2014/main" id="{43B6D8EB-E483-40A1-8F40-267015A5875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0" name="TextBox 1">
          <a:extLst>
            <a:ext uri="{FF2B5EF4-FFF2-40B4-BE49-F238E27FC236}">
              <a16:creationId xmlns:a16="http://schemas.microsoft.com/office/drawing/2014/main" id="{D1D07F7A-53C0-47CE-95D2-83C43918014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1" name="TextBox 3300">
          <a:extLst>
            <a:ext uri="{FF2B5EF4-FFF2-40B4-BE49-F238E27FC236}">
              <a16:creationId xmlns:a16="http://schemas.microsoft.com/office/drawing/2014/main" id="{F72D41E6-9F8F-44C4-B01D-1BDD5148253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2" name="TextBox 3301">
          <a:extLst>
            <a:ext uri="{FF2B5EF4-FFF2-40B4-BE49-F238E27FC236}">
              <a16:creationId xmlns:a16="http://schemas.microsoft.com/office/drawing/2014/main" id="{7BF016CE-8FDA-4490-80AE-BEEA662FE2A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3" name="TextBox 1">
          <a:extLst>
            <a:ext uri="{FF2B5EF4-FFF2-40B4-BE49-F238E27FC236}">
              <a16:creationId xmlns:a16="http://schemas.microsoft.com/office/drawing/2014/main" id="{03BFA0B4-FB1E-4E20-97CC-057D74713DF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4" name="TextBox 1">
          <a:extLst>
            <a:ext uri="{FF2B5EF4-FFF2-40B4-BE49-F238E27FC236}">
              <a16:creationId xmlns:a16="http://schemas.microsoft.com/office/drawing/2014/main" id="{C75925C6-349F-4580-8CFB-B5F7CC45FF9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5" name="TextBox 3304">
          <a:extLst>
            <a:ext uri="{FF2B5EF4-FFF2-40B4-BE49-F238E27FC236}">
              <a16:creationId xmlns:a16="http://schemas.microsoft.com/office/drawing/2014/main" id="{BD1E6C6F-A1CC-4C3B-ACC8-F70EB836627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6" name="TextBox 3305">
          <a:extLst>
            <a:ext uri="{FF2B5EF4-FFF2-40B4-BE49-F238E27FC236}">
              <a16:creationId xmlns:a16="http://schemas.microsoft.com/office/drawing/2014/main" id="{E10F1CAD-5618-4BE4-A1A4-BB501A09438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7" name="TextBox 1">
          <a:extLst>
            <a:ext uri="{FF2B5EF4-FFF2-40B4-BE49-F238E27FC236}">
              <a16:creationId xmlns:a16="http://schemas.microsoft.com/office/drawing/2014/main" id="{17BAC409-814E-43FA-8552-301D3498469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8" name="TextBox 1">
          <a:extLst>
            <a:ext uri="{FF2B5EF4-FFF2-40B4-BE49-F238E27FC236}">
              <a16:creationId xmlns:a16="http://schemas.microsoft.com/office/drawing/2014/main" id="{8D558A1B-A19A-462E-809F-58B504450EC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9" name="TextBox 3308">
          <a:extLst>
            <a:ext uri="{FF2B5EF4-FFF2-40B4-BE49-F238E27FC236}">
              <a16:creationId xmlns:a16="http://schemas.microsoft.com/office/drawing/2014/main" id="{265347ED-7850-45F1-8AF1-82CCB6126F9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0" name="TextBox 3309">
          <a:extLst>
            <a:ext uri="{FF2B5EF4-FFF2-40B4-BE49-F238E27FC236}">
              <a16:creationId xmlns:a16="http://schemas.microsoft.com/office/drawing/2014/main" id="{7299A480-B77E-46E4-9D65-5A950372DED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1" name="TextBox 1">
          <a:extLst>
            <a:ext uri="{FF2B5EF4-FFF2-40B4-BE49-F238E27FC236}">
              <a16:creationId xmlns:a16="http://schemas.microsoft.com/office/drawing/2014/main" id="{0DC3676A-3718-4D12-A3C0-1FBAC49E42A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2" name="TextBox 1">
          <a:extLst>
            <a:ext uri="{FF2B5EF4-FFF2-40B4-BE49-F238E27FC236}">
              <a16:creationId xmlns:a16="http://schemas.microsoft.com/office/drawing/2014/main" id="{1F29FDEB-C1E8-4037-8950-CA92CB41434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3" name="TextBox 3312">
          <a:extLst>
            <a:ext uri="{FF2B5EF4-FFF2-40B4-BE49-F238E27FC236}">
              <a16:creationId xmlns:a16="http://schemas.microsoft.com/office/drawing/2014/main" id="{17B02722-6EEC-4CE1-9AAE-36CB3928935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4" name="TextBox 3313">
          <a:extLst>
            <a:ext uri="{FF2B5EF4-FFF2-40B4-BE49-F238E27FC236}">
              <a16:creationId xmlns:a16="http://schemas.microsoft.com/office/drawing/2014/main" id="{144F12F3-4042-4EE9-A279-36639452F19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5" name="TextBox 1">
          <a:extLst>
            <a:ext uri="{FF2B5EF4-FFF2-40B4-BE49-F238E27FC236}">
              <a16:creationId xmlns:a16="http://schemas.microsoft.com/office/drawing/2014/main" id="{56047F5D-9AAD-4435-B81D-1AE6A95B42F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6" name="TextBox 1">
          <a:extLst>
            <a:ext uri="{FF2B5EF4-FFF2-40B4-BE49-F238E27FC236}">
              <a16:creationId xmlns:a16="http://schemas.microsoft.com/office/drawing/2014/main" id="{68BDEA75-8237-40BE-A3BB-6592DBA8CA4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7" name="TextBox 3316">
          <a:extLst>
            <a:ext uri="{FF2B5EF4-FFF2-40B4-BE49-F238E27FC236}">
              <a16:creationId xmlns:a16="http://schemas.microsoft.com/office/drawing/2014/main" id="{D487C007-49BD-4F15-8000-7868F63A551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8" name="TextBox 3317">
          <a:extLst>
            <a:ext uri="{FF2B5EF4-FFF2-40B4-BE49-F238E27FC236}">
              <a16:creationId xmlns:a16="http://schemas.microsoft.com/office/drawing/2014/main" id="{96B04752-4889-421D-B399-CA4319A1E6A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9" name="TextBox 1">
          <a:extLst>
            <a:ext uri="{FF2B5EF4-FFF2-40B4-BE49-F238E27FC236}">
              <a16:creationId xmlns:a16="http://schemas.microsoft.com/office/drawing/2014/main" id="{D5C8E119-317F-4ABA-A42A-68F2D8422FA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0" name="TextBox 1">
          <a:extLst>
            <a:ext uri="{FF2B5EF4-FFF2-40B4-BE49-F238E27FC236}">
              <a16:creationId xmlns:a16="http://schemas.microsoft.com/office/drawing/2014/main" id="{03B16296-E6CD-4FE6-A4F7-C058B0FDE20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1" name="TextBox 3320">
          <a:extLst>
            <a:ext uri="{FF2B5EF4-FFF2-40B4-BE49-F238E27FC236}">
              <a16:creationId xmlns:a16="http://schemas.microsoft.com/office/drawing/2014/main" id="{59454480-6714-4DCA-9DEB-4B2603C8AA6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2" name="TextBox 1">
          <a:extLst>
            <a:ext uri="{FF2B5EF4-FFF2-40B4-BE49-F238E27FC236}">
              <a16:creationId xmlns:a16="http://schemas.microsoft.com/office/drawing/2014/main" id="{D8226DD7-ED2B-4F3D-92C5-CBA09A43BE4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3" name="TextBox 1">
          <a:extLst>
            <a:ext uri="{FF2B5EF4-FFF2-40B4-BE49-F238E27FC236}">
              <a16:creationId xmlns:a16="http://schemas.microsoft.com/office/drawing/2014/main" id="{E94309BB-0531-485E-8C31-6DA6CF0BD08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4" name="TextBox 3323">
          <a:extLst>
            <a:ext uri="{FF2B5EF4-FFF2-40B4-BE49-F238E27FC236}">
              <a16:creationId xmlns:a16="http://schemas.microsoft.com/office/drawing/2014/main" id="{D63AB4B2-E99F-47B3-8E49-F69519A5BF0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5" name="TextBox 1">
          <a:extLst>
            <a:ext uri="{FF2B5EF4-FFF2-40B4-BE49-F238E27FC236}">
              <a16:creationId xmlns:a16="http://schemas.microsoft.com/office/drawing/2014/main" id="{A66A0842-BF55-47AD-8B4C-BA372E41650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6" name="TextBox 3325">
          <a:extLst>
            <a:ext uri="{FF2B5EF4-FFF2-40B4-BE49-F238E27FC236}">
              <a16:creationId xmlns:a16="http://schemas.microsoft.com/office/drawing/2014/main" id="{05A37DEB-8CB2-45EE-898D-A5B7FF3DDAD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7" name="TextBox 1">
          <a:extLst>
            <a:ext uri="{FF2B5EF4-FFF2-40B4-BE49-F238E27FC236}">
              <a16:creationId xmlns:a16="http://schemas.microsoft.com/office/drawing/2014/main" id="{847A7D49-4554-49E1-96EB-93C59C3BDF5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8" name="TextBox 1">
          <a:extLst>
            <a:ext uri="{FF2B5EF4-FFF2-40B4-BE49-F238E27FC236}">
              <a16:creationId xmlns:a16="http://schemas.microsoft.com/office/drawing/2014/main" id="{3F1F1162-F56D-4D50-B369-6660A728E30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9" name="TextBox 3328">
          <a:extLst>
            <a:ext uri="{FF2B5EF4-FFF2-40B4-BE49-F238E27FC236}">
              <a16:creationId xmlns:a16="http://schemas.microsoft.com/office/drawing/2014/main" id="{C74C5D09-DF41-4624-BE30-CFDD740CADD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0" name="TextBox 3329">
          <a:extLst>
            <a:ext uri="{FF2B5EF4-FFF2-40B4-BE49-F238E27FC236}">
              <a16:creationId xmlns:a16="http://schemas.microsoft.com/office/drawing/2014/main" id="{1EBADF9B-D298-4E59-8234-D22DDBD6F15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1" name="TextBox 1">
          <a:extLst>
            <a:ext uri="{FF2B5EF4-FFF2-40B4-BE49-F238E27FC236}">
              <a16:creationId xmlns:a16="http://schemas.microsoft.com/office/drawing/2014/main" id="{DF60AB17-6A27-4553-A33D-F522D9F399D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2" name="TextBox 1">
          <a:extLst>
            <a:ext uri="{FF2B5EF4-FFF2-40B4-BE49-F238E27FC236}">
              <a16:creationId xmlns:a16="http://schemas.microsoft.com/office/drawing/2014/main" id="{B5F72C47-DF23-4043-9DB9-47383443700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3" name="TextBox 3332">
          <a:extLst>
            <a:ext uri="{FF2B5EF4-FFF2-40B4-BE49-F238E27FC236}">
              <a16:creationId xmlns:a16="http://schemas.microsoft.com/office/drawing/2014/main" id="{D2F573ED-2B18-4F07-828F-56139F9CAD6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4" name="TextBox 3333">
          <a:extLst>
            <a:ext uri="{FF2B5EF4-FFF2-40B4-BE49-F238E27FC236}">
              <a16:creationId xmlns:a16="http://schemas.microsoft.com/office/drawing/2014/main" id="{86469C26-E67C-474E-99DF-F5E4F6CE569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5" name="TextBox 3334">
          <a:extLst>
            <a:ext uri="{FF2B5EF4-FFF2-40B4-BE49-F238E27FC236}">
              <a16:creationId xmlns:a16="http://schemas.microsoft.com/office/drawing/2014/main" id="{C2449A01-6725-4F17-B6D1-1FA8E60F80B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6" name="TextBox 1">
          <a:extLst>
            <a:ext uri="{FF2B5EF4-FFF2-40B4-BE49-F238E27FC236}">
              <a16:creationId xmlns:a16="http://schemas.microsoft.com/office/drawing/2014/main" id="{EEF93E7D-81D0-476D-B1FC-B42BC83E407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7" name="TextBox 1">
          <a:extLst>
            <a:ext uri="{FF2B5EF4-FFF2-40B4-BE49-F238E27FC236}">
              <a16:creationId xmlns:a16="http://schemas.microsoft.com/office/drawing/2014/main" id="{D108BE94-6326-4404-9228-FBC24DE5254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8" name="TextBox 3337">
          <a:extLst>
            <a:ext uri="{FF2B5EF4-FFF2-40B4-BE49-F238E27FC236}">
              <a16:creationId xmlns:a16="http://schemas.microsoft.com/office/drawing/2014/main" id="{1C5104B0-9A94-47A5-863B-38183418EAE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9" name="TextBox 3338">
          <a:extLst>
            <a:ext uri="{FF2B5EF4-FFF2-40B4-BE49-F238E27FC236}">
              <a16:creationId xmlns:a16="http://schemas.microsoft.com/office/drawing/2014/main" id="{C90FCF12-E183-4AE4-9E62-4C24742604B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0" name="TextBox 1">
          <a:extLst>
            <a:ext uri="{FF2B5EF4-FFF2-40B4-BE49-F238E27FC236}">
              <a16:creationId xmlns:a16="http://schemas.microsoft.com/office/drawing/2014/main" id="{4E624C34-864A-43F7-9BAB-A36D41D8ADE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1" name="TextBox 1">
          <a:extLst>
            <a:ext uri="{FF2B5EF4-FFF2-40B4-BE49-F238E27FC236}">
              <a16:creationId xmlns:a16="http://schemas.microsoft.com/office/drawing/2014/main" id="{BFFCDD77-D5BF-41BD-A360-5477A4408AA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2" name="TextBox 3341">
          <a:extLst>
            <a:ext uri="{FF2B5EF4-FFF2-40B4-BE49-F238E27FC236}">
              <a16:creationId xmlns:a16="http://schemas.microsoft.com/office/drawing/2014/main" id="{8E3E8F2F-F449-466B-9B5B-C191850B9B8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3" name="TextBox 3342">
          <a:extLst>
            <a:ext uri="{FF2B5EF4-FFF2-40B4-BE49-F238E27FC236}">
              <a16:creationId xmlns:a16="http://schemas.microsoft.com/office/drawing/2014/main" id="{937188EF-7097-4F6E-B5DD-04B5E978A80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4" name="TextBox 1">
          <a:extLst>
            <a:ext uri="{FF2B5EF4-FFF2-40B4-BE49-F238E27FC236}">
              <a16:creationId xmlns:a16="http://schemas.microsoft.com/office/drawing/2014/main" id="{9B7ECD69-46C1-4560-A6AC-AE800B64F7D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5" name="TextBox 1">
          <a:extLst>
            <a:ext uri="{FF2B5EF4-FFF2-40B4-BE49-F238E27FC236}">
              <a16:creationId xmlns:a16="http://schemas.microsoft.com/office/drawing/2014/main" id="{F5BE78A2-08AD-4A38-B0A3-B918DEC092C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6" name="TextBox 3345">
          <a:extLst>
            <a:ext uri="{FF2B5EF4-FFF2-40B4-BE49-F238E27FC236}">
              <a16:creationId xmlns:a16="http://schemas.microsoft.com/office/drawing/2014/main" id="{9FE16A44-4FEF-46D2-883A-1B943B1A0BD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7" name="TextBox 3346">
          <a:extLst>
            <a:ext uri="{FF2B5EF4-FFF2-40B4-BE49-F238E27FC236}">
              <a16:creationId xmlns:a16="http://schemas.microsoft.com/office/drawing/2014/main" id="{24FA82BC-BFB3-45BD-BBF4-239E440923F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8" name="TextBox 1">
          <a:extLst>
            <a:ext uri="{FF2B5EF4-FFF2-40B4-BE49-F238E27FC236}">
              <a16:creationId xmlns:a16="http://schemas.microsoft.com/office/drawing/2014/main" id="{C7F4A933-73CC-41AF-ABF1-BD89EB2C4D5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9" name="TextBox 1">
          <a:extLst>
            <a:ext uri="{FF2B5EF4-FFF2-40B4-BE49-F238E27FC236}">
              <a16:creationId xmlns:a16="http://schemas.microsoft.com/office/drawing/2014/main" id="{FD6D0021-1AE5-4C2D-88A6-3F906E2BA69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0" name="TextBox 3349">
          <a:extLst>
            <a:ext uri="{FF2B5EF4-FFF2-40B4-BE49-F238E27FC236}">
              <a16:creationId xmlns:a16="http://schemas.microsoft.com/office/drawing/2014/main" id="{A9D1C982-F64B-4691-ADE4-87B8D6676F9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1" name="TextBox 3350">
          <a:extLst>
            <a:ext uri="{FF2B5EF4-FFF2-40B4-BE49-F238E27FC236}">
              <a16:creationId xmlns:a16="http://schemas.microsoft.com/office/drawing/2014/main" id="{5F9EC3BE-8F37-4C28-8784-A8E887816A0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2" name="TextBox 1">
          <a:extLst>
            <a:ext uri="{FF2B5EF4-FFF2-40B4-BE49-F238E27FC236}">
              <a16:creationId xmlns:a16="http://schemas.microsoft.com/office/drawing/2014/main" id="{5F5A3F0B-3C03-46D5-9E51-5BD6FDDD15F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3" name="TextBox 1">
          <a:extLst>
            <a:ext uri="{FF2B5EF4-FFF2-40B4-BE49-F238E27FC236}">
              <a16:creationId xmlns:a16="http://schemas.microsoft.com/office/drawing/2014/main" id="{23E25ED8-4D14-4C12-B1C7-0B42217FB21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4" name="TextBox 3353">
          <a:extLst>
            <a:ext uri="{FF2B5EF4-FFF2-40B4-BE49-F238E27FC236}">
              <a16:creationId xmlns:a16="http://schemas.microsoft.com/office/drawing/2014/main" id="{F2E497C4-D0FD-419D-B062-58DE5724A2B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5" name="TextBox 3354">
          <a:extLst>
            <a:ext uri="{FF2B5EF4-FFF2-40B4-BE49-F238E27FC236}">
              <a16:creationId xmlns:a16="http://schemas.microsoft.com/office/drawing/2014/main" id="{BAD28CE6-9B21-47F6-B796-423FA4480F7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6" name="TextBox 1">
          <a:extLst>
            <a:ext uri="{FF2B5EF4-FFF2-40B4-BE49-F238E27FC236}">
              <a16:creationId xmlns:a16="http://schemas.microsoft.com/office/drawing/2014/main" id="{2F68045F-1B65-4C1E-9865-7DFEB93D9FD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7" name="TextBox 1">
          <a:extLst>
            <a:ext uri="{FF2B5EF4-FFF2-40B4-BE49-F238E27FC236}">
              <a16:creationId xmlns:a16="http://schemas.microsoft.com/office/drawing/2014/main" id="{61158E11-6956-4B25-9515-D1E52474D56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8" name="TextBox 3357">
          <a:extLst>
            <a:ext uri="{FF2B5EF4-FFF2-40B4-BE49-F238E27FC236}">
              <a16:creationId xmlns:a16="http://schemas.microsoft.com/office/drawing/2014/main" id="{02806BE5-B234-431E-A105-D03DF2398D2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9" name="TextBox 3358">
          <a:extLst>
            <a:ext uri="{FF2B5EF4-FFF2-40B4-BE49-F238E27FC236}">
              <a16:creationId xmlns:a16="http://schemas.microsoft.com/office/drawing/2014/main" id="{DC68A1E8-53BE-4D98-ABF0-1BF20256A43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0" name="TextBox 1">
          <a:extLst>
            <a:ext uri="{FF2B5EF4-FFF2-40B4-BE49-F238E27FC236}">
              <a16:creationId xmlns:a16="http://schemas.microsoft.com/office/drawing/2014/main" id="{C67ACFA8-1DB1-4298-989F-DC850BCA45A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1" name="TextBox 1">
          <a:extLst>
            <a:ext uri="{FF2B5EF4-FFF2-40B4-BE49-F238E27FC236}">
              <a16:creationId xmlns:a16="http://schemas.microsoft.com/office/drawing/2014/main" id="{751A04D9-248A-4274-BB8B-249DE186672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2" name="TextBox 3361">
          <a:extLst>
            <a:ext uri="{FF2B5EF4-FFF2-40B4-BE49-F238E27FC236}">
              <a16:creationId xmlns:a16="http://schemas.microsoft.com/office/drawing/2014/main" id="{C481728F-C7E0-4F3A-B2C5-EA4FA547EBE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3" name="TextBox 3362">
          <a:extLst>
            <a:ext uri="{FF2B5EF4-FFF2-40B4-BE49-F238E27FC236}">
              <a16:creationId xmlns:a16="http://schemas.microsoft.com/office/drawing/2014/main" id="{48C58C01-5A3C-4ACA-B793-BCC0125BFC4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4" name="TextBox 1">
          <a:extLst>
            <a:ext uri="{FF2B5EF4-FFF2-40B4-BE49-F238E27FC236}">
              <a16:creationId xmlns:a16="http://schemas.microsoft.com/office/drawing/2014/main" id="{0EBAB173-C20A-4DEB-A303-738A5440C83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5" name="TextBox 1">
          <a:extLst>
            <a:ext uri="{FF2B5EF4-FFF2-40B4-BE49-F238E27FC236}">
              <a16:creationId xmlns:a16="http://schemas.microsoft.com/office/drawing/2014/main" id="{94C5E2F2-8D21-4753-9E88-C2C6107360A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6" name="TextBox 3365">
          <a:extLst>
            <a:ext uri="{FF2B5EF4-FFF2-40B4-BE49-F238E27FC236}">
              <a16:creationId xmlns:a16="http://schemas.microsoft.com/office/drawing/2014/main" id="{56BD353B-1C28-401B-97CD-2F40B257D1B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7" name="TextBox 3366">
          <a:extLst>
            <a:ext uri="{FF2B5EF4-FFF2-40B4-BE49-F238E27FC236}">
              <a16:creationId xmlns:a16="http://schemas.microsoft.com/office/drawing/2014/main" id="{010481B6-4BDD-48D0-9B49-7D216610BF7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8" name="TextBox 1">
          <a:extLst>
            <a:ext uri="{FF2B5EF4-FFF2-40B4-BE49-F238E27FC236}">
              <a16:creationId xmlns:a16="http://schemas.microsoft.com/office/drawing/2014/main" id="{833A97BC-84A1-4B20-9486-526791553A3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9" name="TextBox 1">
          <a:extLst>
            <a:ext uri="{FF2B5EF4-FFF2-40B4-BE49-F238E27FC236}">
              <a16:creationId xmlns:a16="http://schemas.microsoft.com/office/drawing/2014/main" id="{BD679231-5F71-4A20-AB00-11BC5B718F6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0" name="TextBox 3369">
          <a:extLst>
            <a:ext uri="{FF2B5EF4-FFF2-40B4-BE49-F238E27FC236}">
              <a16:creationId xmlns:a16="http://schemas.microsoft.com/office/drawing/2014/main" id="{93C6BEAD-0A8A-45CE-AFC4-488054F40D1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1" name="TextBox 3370">
          <a:extLst>
            <a:ext uri="{FF2B5EF4-FFF2-40B4-BE49-F238E27FC236}">
              <a16:creationId xmlns:a16="http://schemas.microsoft.com/office/drawing/2014/main" id="{BC56174A-8438-4D80-9473-B7655CD3ED2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2" name="TextBox 3371">
          <a:extLst>
            <a:ext uri="{FF2B5EF4-FFF2-40B4-BE49-F238E27FC236}">
              <a16:creationId xmlns:a16="http://schemas.microsoft.com/office/drawing/2014/main" id="{3DBD6BD8-96D3-4169-B5EA-70D762F3CBE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3" name="TextBox 1">
          <a:extLst>
            <a:ext uri="{FF2B5EF4-FFF2-40B4-BE49-F238E27FC236}">
              <a16:creationId xmlns:a16="http://schemas.microsoft.com/office/drawing/2014/main" id="{ECCB9E7A-57D0-4B73-83AE-BE2B35589FE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4" name="TextBox 1">
          <a:extLst>
            <a:ext uri="{FF2B5EF4-FFF2-40B4-BE49-F238E27FC236}">
              <a16:creationId xmlns:a16="http://schemas.microsoft.com/office/drawing/2014/main" id="{FD7C3246-EACA-48DC-95ED-E8517B7EB7E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5" name="TextBox 3374">
          <a:extLst>
            <a:ext uri="{FF2B5EF4-FFF2-40B4-BE49-F238E27FC236}">
              <a16:creationId xmlns:a16="http://schemas.microsoft.com/office/drawing/2014/main" id="{AA173BA4-BF0D-419E-992C-B7D957A4987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6" name="TextBox 3375">
          <a:extLst>
            <a:ext uri="{FF2B5EF4-FFF2-40B4-BE49-F238E27FC236}">
              <a16:creationId xmlns:a16="http://schemas.microsoft.com/office/drawing/2014/main" id="{275128E8-2FB6-4CC7-9F09-D4BCB6A180A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7" name="TextBox 1">
          <a:extLst>
            <a:ext uri="{FF2B5EF4-FFF2-40B4-BE49-F238E27FC236}">
              <a16:creationId xmlns:a16="http://schemas.microsoft.com/office/drawing/2014/main" id="{1F80D509-2056-4440-A376-430F03D8E9D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8" name="TextBox 1">
          <a:extLst>
            <a:ext uri="{FF2B5EF4-FFF2-40B4-BE49-F238E27FC236}">
              <a16:creationId xmlns:a16="http://schemas.microsoft.com/office/drawing/2014/main" id="{C4D18F19-C1A1-4527-9CF0-B46F9592662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9" name="TextBox 3378">
          <a:extLst>
            <a:ext uri="{FF2B5EF4-FFF2-40B4-BE49-F238E27FC236}">
              <a16:creationId xmlns:a16="http://schemas.microsoft.com/office/drawing/2014/main" id="{F6F347AA-75D5-48A8-96F6-10D93BF42BE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0" name="TextBox 3379">
          <a:extLst>
            <a:ext uri="{FF2B5EF4-FFF2-40B4-BE49-F238E27FC236}">
              <a16:creationId xmlns:a16="http://schemas.microsoft.com/office/drawing/2014/main" id="{2C90C91D-F228-428B-89CB-6199493644E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1" name="TextBox 1">
          <a:extLst>
            <a:ext uri="{FF2B5EF4-FFF2-40B4-BE49-F238E27FC236}">
              <a16:creationId xmlns:a16="http://schemas.microsoft.com/office/drawing/2014/main" id="{75AAF212-55A8-45D4-9B82-0EAAA022AEE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2" name="TextBox 1">
          <a:extLst>
            <a:ext uri="{FF2B5EF4-FFF2-40B4-BE49-F238E27FC236}">
              <a16:creationId xmlns:a16="http://schemas.microsoft.com/office/drawing/2014/main" id="{AE39CEE2-B43C-4690-86D1-A65EDF3AFB2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3" name="TextBox 3382">
          <a:extLst>
            <a:ext uri="{FF2B5EF4-FFF2-40B4-BE49-F238E27FC236}">
              <a16:creationId xmlns:a16="http://schemas.microsoft.com/office/drawing/2014/main" id="{04A6EEE5-5D75-46D0-82AB-CCAE635443A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4" name="TextBox 3383">
          <a:extLst>
            <a:ext uri="{FF2B5EF4-FFF2-40B4-BE49-F238E27FC236}">
              <a16:creationId xmlns:a16="http://schemas.microsoft.com/office/drawing/2014/main" id="{6BB8DC15-46D4-464C-94EF-EA6918FBE3D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5" name="TextBox 1">
          <a:extLst>
            <a:ext uri="{FF2B5EF4-FFF2-40B4-BE49-F238E27FC236}">
              <a16:creationId xmlns:a16="http://schemas.microsoft.com/office/drawing/2014/main" id="{B690611E-E144-44C9-BBA4-4EF2D1C3DA6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6" name="TextBox 1">
          <a:extLst>
            <a:ext uri="{FF2B5EF4-FFF2-40B4-BE49-F238E27FC236}">
              <a16:creationId xmlns:a16="http://schemas.microsoft.com/office/drawing/2014/main" id="{09D3612B-156B-4838-84EF-74B98EDEB8F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7" name="TextBox 3386">
          <a:extLst>
            <a:ext uri="{FF2B5EF4-FFF2-40B4-BE49-F238E27FC236}">
              <a16:creationId xmlns:a16="http://schemas.microsoft.com/office/drawing/2014/main" id="{09AB86FE-EAC5-470B-AFC7-5592533AD58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8" name="TextBox 3387">
          <a:extLst>
            <a:ext uri="{FF2B5EF4-FFF2-40B4-BE49-F238E27FC236}">
              <a16:creationId xmlns:a16="http://schemas.microsoft.com/office/drawing/2014/main" id="{717D909B-A998-48CD-8C54-5A97D5293C5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9" name="TextBox 1">
          <a:extLst>
            <a:ext uri="{FF2B5EF4-FFF2-40B4-BE49-F238E27FC236}">
              <a16:creationId xmlns:a16="http://schemas.microsoft.com/office/drawing/2014/main" id="{AA7ABB96-ADD6-4FFE-8E50-73773118E48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0" name="TextBox 1">
          <a:extLst>
            <a:ext uri="{FF2B5EF4-FFF2-40B4-BE49-F238E27FC236}">
              <a16:creationId xmlns:a16="http://schemas.microsoft.com/office/drawing/2014/main" id="{2110F9AE-5E93-4785-B7B0-E8040F097F6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1" name="TextBox 3390">
          <a:extLst>
            <a:ext uri="{FF2B5EF4-FFF2-40B4-BE49-F238E27FC236}">
              <a16:creationId xmlns:a16="http://schemas.microsoft.com/office/drawing/2014/main" id="{B9FDD222-3DC9-4FCA-9E23-283A90471DC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2" name="TextBox 3391">
          <a:extLst>
            <a:ext uri="{FF2B5EF4-FFF2-40B4-BE49-F238E27FC236}">
              <a16:creationId xmlns:a16="http://schemas.microsoft.com/office/drawing/2014/main" id="{1B8EB2AE-51A3-45D7-9684-13CD3EBFACA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3" name="TextBox 1">
          <a:extLst>
            <a:ext uri="{FF2B5EF4-FFF2-40B4-BE49-F238E27FC236}">
              <a16:creationId xmlns:a16="http://schemas.microsoft.com/office/drawing/2014/main" id="{8F764CEE-F888-42CD-B493-34B7CA8034B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4" name="TextBox 1">
          <a:extLst>
            <a:ext uri="{FF2B5EF4-FFF2-40B4-BE49-F238E27FC236}">
              <a16:creationId xmlns:a16="http://schemas.microsoft.com/office/drawing/2014/main" id="{F9506F7E-A2F0-460F-B0BA-1C0500E74D5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5" name="TextBox 3394">
          <a:extLst>
            <a:ext uri="{FF2B5EF4-FFF2-40B4-BE49-F238E27FC236}">
              <a16:creationId xmlns:a16="http://schemas.microsoft.com/office/drawing/2014/main" id="{3A4CC4A5-3119-404D-9162-91B85FDC1A1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6" name="TextBox 3395">
          <a:extLst>
            <a:ext uri="{FF2B5EF4-FFF2-40B4-BE49-F238E27FC236}">
              <a16:creationId xmlns:a16="http://schemas.microsoft.com/office/drawing/2014/main" id="{85A3C4A9-5836-4F27-80EC-7BBED015007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7" name="TextBox 1">
          <a:extLst>
            <a:ext uri="{FF2B5EF4-FFF2-40B4-BE49-F238E27FC236}">
              <a16:creationId xmlns:a16="http://schemas.microsoft.com/office/drawing/2014/main" id="{F712CE17-1D32-4BB4-B00C-BA5427DCDEE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8" name="TextBox 1">
          <a:extLst>
            <a:ext uri="{FF2B5EF4-FFF2-40B4-BE49-F238E27FC236}">
              <a16:creationId xmlns:a16="http://schemas.microsoft.com/office/drawing/2014/main" id="{1096C0E0-ECBC-4D18-87CD-04573B60E2D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9" name="TextBox 3398">
          <a:extLst>
            <a:ext uri="{FF2B5EF4-FFF2-40B4-BE49-F238E27FC236}">
              <a16:creationId xmlns:a16="http://schemas.microsoft.com/office/drawing/2014/main" id="{50B45EB9-6A1E-4BED-AC79-A2F9884AB48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0" name="TextBox 3399">
          <a:extLst>
            <a:ext uri="{FF2B5EF4-FFF2-40B4-BE49-F238E27FC236}">
              <a16:creationId xmlns:a16="http://schemas.microsoft.com/office/drawing/2014/main" id="{75E2456A-08F2-4F81-9A08-4CA0D77938C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1" name="TextBox 1">
          <a:extLst>
            <a:ext uri="{FF2B5EF4-FFF2-40B4-BE49-F238E27FC236}">
              <a16:creationId xmlns:a16="http://schemas.microsoft.com/office/drawing/2014/main" id="{7B172323-34A3-49A4-8406-FDB897C2E5B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2" name="TextBox 1">
          <a:extLst>
            <a:ext uri="{FF2B5EF4-FFF2-40B4-BE49-F238E27FC236}">
              <a16:creationId xmlns:a16="http://schemas.microsoft.com/office/drawing/2014/main" id="{21F6C391-A419-436C-AF32-3B071B2DC6C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3" name="TextBox 3402">
          <a:extLst>
            <a:ext uri="{FF2B5EF4-FFF2-40B4-BE49-F238E27FC236}">
              <a16:creationId xmlns:a16="http://schemas.microsoft.com/office/drawing/2014/main" id="{3E366BBC-AF74-47DF-8D37-D855C69E01E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4" name="TextBox 3403">
          <a:extLst>
            <a:ext uri="{FF2B5EF4-FFF2-40B4-BE49-F238E27FC236}">
              <a16:creationId xmlns:a16="http://schemas.microsoft.com/office/drawing/2014/main" id="{92B12531-1801-45E2-8B7D-E0192BE670E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5" name="TextBox 1">
          <a:extLst>
            <a:ext uri="{FF2B5EF4-FFF2-40B4-BE49-F238E27FC236}">
              <a16:creationId xmlns:a16="http://schemas.microsoft.com/office/drawing/2014/main" id="{95A658BA-AB6C-48D9-BD97-BE6E3E7E3C5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6" name="TextBox 1">
          <a:extLst>
            <a:ext uri="{FF2B5EF4-FFF2-40B4-BE49-F238E27FC236}">
              <a16:creationId xmlns:a16="http://schemas.microsoft.com/office/drawing/2014/main" id="{516F787E-32C8-414C-987F-605150EEB90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7" name="TextBox 3406">
          <a:extLst>
            <a:ext uri="{FF2B5EF4-FFF2-40B4-BE49-F238E27FC236}">
              <a16:creationId xmlns:a16="http://schemas.microsoft.com/office/drawing/2014/main" id="{706F3C4D-7B2A-429C-9388-4612B3CD41E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8" name="TextBox 3407">
          <a:extLst>
            <a:ext uri="{FF2B5EF4-FFF2-40B4-BE49-F238E27FC236}">
              <a16:creationId xmlns:a16="http://schemas.microsoft.com/office/drawing/2014/main" id="{166C9363-156A-417C-BB36-7E5B18A92B6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9" name="TextBox 1">
          <a:extLst>
            <a:ext uri="{FF2B5EF4-FFF2-40B4-BE49-F238E27FC236}">
              <a16:creationId xmlns:a16="http://schemas.microsoft.com/office/drawing/2014/main" id="{E0F17A67-1F1B-4B57-A010-8622F04C2C4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0" name="TextBox 1">
          <a:extLst>
            <a:ext uri="{FF2B5EF4-FFF2-40B4-BE49-F238E27FC236}">
              <a16:creationId xmlns:a16="http://schemas.microsoft.com/office/drawing/2014/main" id="{7789C752-3696-4961-8757-846C8D0267A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1" name="TextBox 3410">
          <a:extLst>
            <a:ext uri="{FF2B5EF4-FFF2-40B4-BE49-F238E27FC236}">
              <a16:creationId xmlns:a16="http://schemas.microsoft.com/office/drawing/2014/main" id="{64D278C7-7516-40F6-B44C-310997C6773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2" name="TextBox 3411">
          <a:extLst>
            <a:ext uri="{FF2B5EF4-FFF2-40B4-BE49-F238E27FC236}">
              <a16:creationId xmlns:a16="http://schemas.microsoft.com/office/drawing/2014/main" id="{1BECE1E0-74AA-4D51-9953-75D4C2B6883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3" name="TextBox 1">
          <a:extLst>
            <a:ext uri="{FF2B5EF4-FFF2-40B4-BE49-F238E27FC236}">
              <a16:creationId xmlns:a16="http://schemas.microsoft.com/office/drawing/2014/main" id="{88B18DAD-A3F0-49C1-BEE7-F1EEE18D740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4" name="TextBox 1">
          <a:extLst>
            <a:ext uri="{FF2B5EF4-FFF2-40B4-BE49-F238E27FC236}">
              <a16:creationId xmlns:a16="http://schemas.microsoft.com/office/drawing/2014/main" id="{FF86BD51-220F-45DA-8C32-E17535CA92C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5" name="TextBox 3414">
          <a:extLst>
            <a:ext uri="{FF2B5EF4-FFF2-40B4-BE49-F238E27FC236}">
              <a16:creationId xmlns:a16="http://schemas.microsoft.com/office/drawing/2014/main" id="{015BA24F-2A40-45D3-AD5C-3D473F69785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6" name="TextBox 3415">
          <a:extLst>
            <a:ext uri="{FF2B5EF4-FFF2-40B4-BE49-F238E27FC236}">
              <a16:creationId xmlns:a16="http://schemas.microsoft.com/office/drawing/2014/main" id="{9C621097-42EC-45DE-AC12-8337A6C22CC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7" name="TextBox 3416">
          <a:extLst>
            <a:ext uri="{FF2B5EF4-FFF2-40B4-BE49-F238E27FC236}">
              <a16:creationId xmlns:a16="http://schemas.microsoft.com/office/drawing/2014/main" id="{0C58ACA2-C186-4106-8B27-E63E162F8DC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8" name="TextBox 1">
          <a:extLst>
            <a:ext uri="{FF2B5EF4-FFF2-40B4-BE49-F238E27FC236}">
              <a16:creationId xmlns:a16="http://schemas.microsoft.com/office/drawing/2014/main" id="{49115C8C-460B-413A-AD44-3428DEEBD2F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9" name="TextBox 1">
          <a:extLst>
            <a:ext uri="{FF2B5EF4-FFF2-40B4-BE49-F238E27FC236}">
              <a16:creationId xmlns:a16="http://schemas.microsoft.com/office/drawing/2014/main" id="{1973F330-0E10-4A51-8829-2CE324A9AD0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0" name="TextBox 3419">
          <a:extLst>
            <a:ext uri="{FF2B5EF4-FFF2-40B4-BE49-F238E27FC236}">
              <a16:creationId xmlns:a16="http://schemas.microsoft.com/office/drawing/2014/main" id="{278CA741-17E6-4F5F-8932-152E70BD663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1" name="TextBox 3420">
          <a:extLst>
            <a:ext uri="{FF2B5EF4-FFF2-40B4-BE49-F238E27FC236}">
              <a16:creationId xmlns:a16="http://schemas.microsoft.com/office/drawing/2014/main" id="{154EB2BA-C201-474F-89DF-DE08EDF5C3C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2" name="TextBox 1">
          <a:extLst>
            <a:ext uri="{FF2B5EF4-FFF2-40B4-BE49-F238E27FC236}">
              <a16:creationId xmlns:a16="http://schemas.microsoft.com/office/drawing/2014/main" id="{D90BD96A-D926-44C1-B884-2BD0AC0CD61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3" name="TextBox 1">
          <a:extLst>
            <a:ext uri="{FF2B5EF4-FFF2-40B4-BE49-F238E27FC236}">
              <a16:creationId xmlns:a16="http://schemas.microsoft.com/office/drawing/2014/main" id="{7F1754D4-D4B6-460D-95E8-E5C5154D033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4" name="TextBox 3423">
          <a:extLst>
            <a:ext uri="{FF2B5EF4-FFF2-40B4-BE49-F238E27FC236}">
              <a16:creationId xmlns:a16="http://schemas.microsoft.com/office/drawing/2014/main" id="{ADC56428-F907-46A6-A7DB-FB72159BB4A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5" name="TextBox 3424">
          <a:extLst>
            <a:ext uri="{FF2B5EF4-FFF2-40B4-BE49-F238E27FC236}">
              <a16:creationId xmlns:a16="http://schemas.microsoft.com/office/drawing/2014/main" id="{AB1E5583-34AE-41E6-84D3-8CE774E535E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6" name="TextBox 1">
          <a:extLst>
            <a:ext uri="{FF2B5EF4-FFF2-40B4-BE49-F238E27FC236}">
              <a16:creationId xmlns:a16="http://schemas.microsoft.com/office/drawing/2014/main" id="{8A29E4AC-752F-4411-86F6-85F9E9D3BA8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7" name="TextBox 1">
          <a:extLst>
            <a:ext uri="{FF2B5EF4-FFF2-40B4-BE49-F238E27FC236}">
              <a16:creationId xmlns:a16="http://schemas.microsoft.com/office/drawing/2014/main" id="{B9BFB2C7-1F10-426D-98B8-257CE271840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8" name="TextBox 3427">
          <a:extLst>
            <a:ext uri="{FF2B5EF4-FFF2-40B4-BE49-F238E27FC236}">
              <a16:creationId xmlns:a16="http://schemas.microsoft.com/office/drawing/2014/main" id="{7160748F-8D0E-41F8-97F4-B3D9A8E53FE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9" name="TextBox 3428">
          <a:extLst>
            <a:ext uri="{FF2B5EF4-FFF2-40B4-BE49-F238E27FC236}">
              <a16:creationId xmlns:a16="http://schemas.microsoft.com/office/drawing/2014/main" id="{CDACBD7E-5730-43C9-8FF7-C8F3F46C517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0" name="TextBox 1">
          <a:extLst>
            <a:ext uri="{FF2B5EF4-FFF2-40B4-BE49-F238E27FC236}">
              <a16:creationId xmlns:a16="http://schemas.microsoft.com/office/drawing/2014/main" id="{4935BBDF-7F0E-4952-B90D-F5D992DD304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1" name="TextBox 1">
          <a:extLst>
            <a:ext uri="{FF2B5EF4-FFF2-40B4-BE49-F238E27FC236}">
              <a16:creationId xmlns:a16="http://schemas.microsoft.com/office/drawing/2014/main" id="{5E6AB578-BB7D-48CE-B364-7695D6CE1EC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2" name="TextBox 3431">
          <a:extLst>
            <a:ext uri="{FF2B5EF4-FFF2-40B4-BE49-F238E27FC236}">
              <a16:creationId xmlns:a16="http://schemas.microsoft.com/office/drawing/2014/main" id="{F4E3F4A2-384C-43CE-9C77-40929F95E72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3" name="TextBox 3432">
          <a:extLst>
            <a:ext uri="{FF2B5EF4-FFF2-40B4-BE49-F238E27FC236}">
              <a16:creationId xmlns:a16="http://schemas.microsoft.com/office/drawing/2014/main" id="{1B2C1BDF-DCC2-4CCF-BFFD-6A5D6A88D27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4" name="TextBox 1">
          <a:extLst>
            <a:ext uri="{FF2B5EF4-FFF2-40B4-BE49-F238E27FC236}">
              <a16:creationId xmlns:a16="http://schemas.microsoft.com/office/drawing/2014/main" id="{C761A762-5C9C-405A-BBF0-5DA2DD9AF9E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5" name="TextBox 1">
          <a:extLst>
            <a:ext uri="{FF2B5EF4-FFF2-40B4-BE49-F238E27FC236}">
              <a16:creationId xmlns:a16="http://schemas.microsoft.com/office/drawing/2014/main" id="{66EEAB68-380A-4979-A5CA-FC67EFCB251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6" name="TextBox 3435">
          <a:extLst>
            <a:ext uri="{FF2B5EF4-FFF2-40B4-BE49-F238E27FC236}">
              <a16:creationId xmlns:a16="http://schemas.microsoft.com/office/drawing/2014/main" id="{3709BDA4-B0A6-44CC-A527-B19B08929F7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7" name="TextBox 3436">
          <a:extLst>
            <a:ext uri="{FF2B5EF4-FFF2-40B4-BE49-F238E27FC236}">
              <a16:creationId xmlns:a16="http://schemas.microsoft.com/office/drawing/2014/main" id="{8116BA4B-D563-4E64-B38A-7C4F3F3F6E1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8" name="TextBox 1">
          <a:extLst>
            <a:ext uri="{FF2B5EF4-FFF2-40B4-BE49-F238E27FC236}">
              <a16:creationId xmlns:a16="http://schemas.microsoft.com/office/drawing/2014/main" id="{654EED9D-A18F-44FA-8350-1531F9DAD29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9" name="TextBox 1">
          <a:extLst>
            <a:ext uri="{FF2B5EF4-FFF2-40B4-BE49-F238E27FC236}">
              <a16:creationId xmlns:a16="http://schemas.microsoft.com/office/drawing/2014/main" id="{88E5085A-98B5-41A0-BAAD-762B57BB0E5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0" name="TextBox 3439">
          <a:extLst>
            <a:ext uri="{FF2B5EF4-FFF2-40B4-BE49-F238E27FC236}">
              <a16:creationId xmlns:a16="http://schemas.microsoft.com/office/drawing/2014/main" id="{7368763A-BC6F-47AA-B70E-C7AE60C01BD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1" name="TextBox 3440">
          <a:extLst>
            <a:ext uri="{FF2B5EF4-FFF2-40B4-BE49-F238E27FC236}">
              <a16:creationId xmlns:a16="http://schemas.microsoft.com/office/drawing/2014/main" id="{3D750907-5964-44CB-9BAE-24DA49DED1C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2" name="TextBox 1">
          <a:extLst>
            <a:ext uri="{FF2B5EF4-FFF2-40B4-BE49-F238E27FC236}">
              <a16:creationId xmlns:a16="http://schemas.microsoft.com/office/drawing/2014/main" id="{7E64A063-EF8E-4C63-9501-5D88A37613E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3" name="TextBox 1">
          <a:extLst>
            <a:ext uri="{FF2B5EF4-FFF2-40B4-BE49-F238E27FC236}">
              <a16:creationId xmlns:a16="http://schemas.microsoft.com/office/drawing/2014/main" id="{E6679733-5019-4F2E-9AEF-804140D0EE4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4" name="TextBox 3443">
          <a:extLst>
            <a:ext uri="{FF2B5EF4-FFF2-40B4-BE49-F238E27FC236}">
              <a16:creationId xmlns:a16="http://schemas.microsoft.com/office/drawing/2014/main" id="{124E0AD8-3B5F-4E07-B8B7-D7F6758A77B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5" name="TextBox 3444">
          <a:extLst>
            <a:ext uri="{FF2B5EF4-FFF2-40B4-BE49-F238E27FC236}">
              <a16:creationId xmlns:a16="http://schemas.microsoft.com/office/drawing/2014/main" id="{1BF34CBD-759B-4179-A8B0-C3B2B1FDA39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6" name="TextBox 1">
          <a:extLst>
            <a:ext uri="{FF2B5EF4-FFF2-40B4-BE49-F238E27FC236}">
              <a16:creationId xmlns:a16="http://schemas.microsoft.com/office/drawing/2014/main" id="{569DE80C-1D02-494C-A295-ECE1B7F8B95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7" name="TextBox 1">
          <a:extLst>
            <a:ext uri="{FF2B5EF4-FFF2-40B4-BE49-F238E27FC236}">
              <a16:creationId xmlns:a16="http://schemas.microsoft.com/office/drawing/2014/main" id="{691B8FA9-5A28-46A6-98E6-9DDE6C0E4A1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8" name="TextBox 3447">
          <a:extLst>
            <a:ext uri="{FF2B5EF4-FFF2-40B4-BE49-F238E27FC236}">
              <a16:creationId xmlns:a16="http://schemas.microsoft.com/office/drawing/2014/main" id="{9D06FBB4-1D02-4CF9-96E6-AAC2579C7C1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9" name="TextBox 3448">
          <a:extLst>
            <a:ext uri="{FF2B5EF4-FFF2-40B4-BE49-F238E27FC236}">
              <a16:creationId xmlns:a16="http://schemas.microsoft.com/office/drawing/2014/main" id="{8C6506A4-9A09-4ADB-A0CE-6BCCCB5E8F7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0" name="TextBox 1">
          <a:extLst>
            <a:ext uri="{FF2B5EF4-FFF2-40B4-BE49-F238E27FC236}">
              <a16:creationId xmlns:a16="http://schemas.microsoft.com/office/drawing/2014/main" id="{91F5BF4D-0314-4A5A-8A92-4A33FE23256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1" name="TextBox 1">
          <a:extLst>
            <a:ext uri="{FF2B5EF4-FFF2-40B4-BE49-F238E27FC236}">
              <a16:creationId xmlns:a16="http://schemas.microsoft.com/office/drawing/2014/main" id="{B0651AC8-338C-41F9-A216-BF6DB74E2D9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2" name="TextBox 3451">
          <a:extLst>
            <a:ext uri="{FF2B5EF4-FFF2-40B4-BE49-F238E27FC236}">
              <a16:creationId xmlns:a16="http://schemas.microsoft.com/office/drawing/2014/main" id="{36F3E857-396A-4808-B02C-7DCC92F975B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3" name="TextBox 1">
          <a:extLst>
            <a:ext uri="{FF2B5EF4-FFF2-40B4-BE49-F238E27FC236}">
              <a16:creationId xmlns:a16="http://schemas.microsoft.com/office/drawing/2014/main" id="{B30ADD81-2356-449B-AEA4-77FE0149A1B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4" name="TextBox 1">
          <a:extLst>
            <a:ext uri="{FF2B5EF4-FFF2-40B4-BE49-F238E27FC236}">
              <a16:creationId xmlns:a16="http://schemas.microsoft.com/office/drawing/2014/main" id="{30CC6BD4-A38F-4365-846F-F96A29C9980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5" name="TextBox 3454">
          <a:extLst>
            <a:ext uri="{FF2B5EF4-FFF2-40B4-BE49-F238E27FC236}">
              <a16:creationId xmlns:a16="http://schemas.microsoft.com/office/drawing/2014/main" id="{2757011A-A0B3-4BD9-A201-2761293FCCB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6" name="TextBox 1">
          <a:extLst>
            <a:ext uri="{FF2B5EF4-FFF2-40B4-BE49-F238E27FC236}">
              <a16:creationId xmlns:a16="http://schemas.microsoft.com/office/drawing/2014/main" id="{9D022B91-2380-4FD9-8204-5DFB8943051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7" name="TextBox 3456">
          <a:extLst>
            <a:ext uri="{FF2B5EF4-FFF2-40B4-BE49-F238E27FC236}">
              <a16:creationId xmlns:a16="http://schemas.microsoft.com/office/drawing/2014/main" id="{63E633DC-1E13-40E3-9EFB-BC5044978DB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8" name="TextBox 1">
          <a:extLst>
            <a:ext uri="{FF2B5EF4-FFF2-40B4-BE49-F238E27FC236}">
              <a16:creationId xmlns:a16="http://schemas.microsoft.com/office/drawing/2014/main" id="{E9AB76C1-022A-42CC-B232-358C6D36BAA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9" name="TextBox 1">
          <a:extLst>
            <a:ext uri="{FF2B5EF4-FFF2-40B4-BE49-F238E27FC236}">
              <a16:creationId xmlns:a16="http://schemas.microsoft.com/office/drawing/2014/main" id="{39B77CC6-3910-4DD7-A52C-0C5BAAA9F48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0" name="TextBox 3459">
          <a:extLst>
            <a:ext uri="{FF2B5EF4-FFF2-40B4-BE49-F238E27FC236}">
              <a16:creationId xmlns:a16="http://schemas.microsoft.com/office/drawing/2014/main" id="{DD02384E-4588-4ADC-935B-EAF07BA46DE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1" name="TextBox 3460">
          <a:extLst>
            <a:ext uri="{FF2B5EF4-FFF2-40B4-BE49-F238E27FC236}">
              <a16:creationId xmlns:a16="http://schemas.microsoft.com/office/drawing/2014/main" id="{89B1D6F9-8ECB-44C0-862F-D83B5901960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2" name="TextBox 1">
          <a:extLst>
            <a:ext uri="{FF2B5EF4-FFF2-40B4-BE49-F238E27FC236}">
              <a16:creationId xmlns:a16="http://schemas.microsoft.com/office/drawing/2014/main" id="{A4E0DC79-35E3-4FA5-8AFE-2803D7E5A7E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3" name="TextBox 1">
          <a:extLst>
            <a:ext uri="{FF2B5EF4-FFF2-40B4-BE49-F238E27FC236}">
              <a16:creationId xmlns:a16="http://schemas.microsoft.com/office/drawing/2014/main" id="{6DA788BA-8DF2-453E-BC37-E58DAF9B472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4" name="TextBox 3463">
          <a:extLst>
            <a:ext uri="{FF2B5EF4-FFF2-40B4-BE49-F238E27FC236}">
              <a16:creationId xmlns:a16="http://schemas.microsoft.com/office/drawing/2014/main" id="{0E9D01F5-0729-4811-9F5C-E9F9A702626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5" name="TextBox 3464">
          <a:extLst>
            <a:ext uri="{FF2B5EF4-FFF2-40B4-BE49-F238E27FC236}">
              <a16:creationId xmlns:a16="http://schemas.microsoft.com/office/drawing/2014/main" id="{CFE6880F-8016-48B9-9D52-59770E3FF29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6" name="TextBox 3465">
          <a:extLst>
            <a:ext uri="{FF2B5EF4-FFF2-40B4-BE49-F238E27FC236}">
              <a16:creationId xmlns:a16="http://schemas.microsoft.com/office/drawing/2014/main" id="{5BFEEF97-BE3A-4864-A297-A835E482E94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7" name="TextBox 1">
          <a:extLst>
            <a:ext uri="{FF2B5EF4-FFF2-40B4-BE49-F238E27FC236}">
              <a16:creationId xmlns:a16="http://schemas.microsoft.com/office/drawing/2014/main" id="{2670BBBE-2166-4ADC-9A57-49C5F1A59F8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8" name="TextBox 1">
          <a:extLst>
            <a:ext uri="{FF2B5EF4-FFF2-40B4-BE49-F238E27FC236}">
              <a16:creationId xmlns:a16="http://schemas.microsoft.com/office/drawing/2014/main" id="{C55393AA-0664-4315-A4FE-33A451F1CB1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9" name="TextBox 3468">
          <a:extLst>
            <a:ext uri="{FF2B5EF4-FFF2-40B4-BE49-F238E27FC236}">
              <a16:creationId xmlns:a16="http://schemas.microsoft.com/office/drawing/2014/main" id="{78610F4B-3C17-47EE-94DF-EFD46D301E0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0" name="TextBox 3469">
          <a:extLst>
            <a:ext uri="{FF2B5EF4-FFF2-40B4-BE49-F238E27FC236}">
              <a16:creationId xmlns:a16="http://schemas.microsoft.com/office/drawing/2014/main" id="{1BF4BCA5-1E0F-4638-8642-F6FFA2E435A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1" name="TextBox 1">
          <a:extLst>
            <a:ext uri="{FF2B5EF4-FFF2-40B4-BE49-F238E27FC236}">
              <a16:creationId xmlns:a16="http://schemas.microsoft.com/office/drawing/2014/main" id="{22602275-2C58-439D-A358-CFEDD376FDE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2" name="TextBox 1">
          <a:extLst>
            <a:ext uri="{FF2B5EF4-FFF2-40B4-BE49-F238E27FC236}">
              <a16:creationId xmlns:a16="http://schemas.microsoft.com/office/drawing/2014/main" id="{F4954F21-7420-4AFA-9103-C0FAE9E219C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3" name="TextBox 3472">
          <a:extLst>
            <a:ext uri="{FF2B5EF4-FFF2-40B4-BE49-F238E27FC236}">
              <a16:creationId xmlns:a16="http://schemas.microsoft.com/office/drawing/2014/main" id="{CB0C4E58-C8DC-488B-AFBA-5DB4C84864C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4" name="TextBox 3473">
          <a:extLst>
            <a:ext uri="{FF2B5EF4-FFF2-40B4-BE49-F238E27FC236}">
              <a16:creationId xmlns:a16="http://schemas.microsoft.com/office/drawing/2014/main" id="{714137CC-D399-42E0-A5F9-30CE87E09FA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5" name="TextBox 1">
          <a:extLst>
            <a:ext uri="{FF2B5EF4-FFF2-40B4-BE49-F238E27FC236}">
              <a16:creationId xmlns:a16="http://schemas.microsoft.com/office/drawing/2014/main" id="{EB0A7475-722B-4909-9312-90199F61150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6" name="TextBox 1">
          <a:extLst>
            <a:ext uri="{FF2B5EF4-FFF2-40B4-BE49-F238E27FC236}">
              <a16:creationId xmlns:a16="http://schemas.microsoft.com/office/drawing/2014/main" id="{8E2D00B4-A0FB-487E-ACD2-B51F8479C8F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7" name="TextBox 3476">
          <a:extLst>
            <a:ext uri="{FF2B5EF4-FFF2-40B4-BE49-F238E27FC236}">
              <a16:creationId xmlns:a16="http://schemas.microsoft.com/office/drawing/2014/main" id="{4FC75F27-41C9-4134-955A-A2F73E961DF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8" name="TextBox 3477">
          <a:extLst>
            <a:ext uri="{FF2B5EF4-FFF2-40B4-BE49-F238E27FC236}">
              <a16:creationId xmlns:a16="http://schemas.microsoft.com/office/drawing/2014/main" id="{7EC6C657-C624-4F45-B07B-ED8426D21FD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9" name="TextBox 1">
          <a:extLst>
            <a:ext uri="{FF2B5EF4-FFF2-40B4-BE49-F238E27FC236}">
              <a16:creationId xmlns:a16="http://schemas.microsoft.com/office/drawing/2014/main" id="{2DC86811-3B41-4282-A53D-DD724C68905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0" name="TextBox 1">
          <a:extLst>
            <a:ext uri="{FF2B5EF4-FFF2-40B4-BE49-F238E27FC236}">
              <a16:creationId xmlns:a16="http://schemas.microsoft.com/office/drawing/2014/main" id="{D72A8BC0-BFC4-4F58-8F8D-420C5474761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1" name="TextBox 3480">
          <a:extLst>
            <a:ext uri="{FF2B5EF4-FFF2-40B4-BE49-F238E27FC236}">
              <a16:creationId xmlns:a16="http://schemas.microsoft.com/office/drawing/2014/main" id="{107053A3-2BE6-411E-B951-3BB6724576D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2" name="TextBox 3481">
          <a:extLst>
            <a:ext uri="{FF2B5EF4-FFF2-40B4-BE49-F238E27FC236}">
              <a16:creationId xmlns:a16="http://schemas.microsoft.com/office/drawing/2014/main" id="{843F6C6A-2E46-482E-A298-1E1D5A26225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3" name="TextBox 1">
          <a:extLst>
            <a:ext uri="{FF2B5EF4-FFF2-40B4-BE49-F238E27FC236}">
              <a16:creationId xmlns:a16="http://schemas.microsoft.com/office/drawing/2014/main" id="{587E4609-345C-4AF7-9658-2F6B446EAFA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4" name="TextBox 1">
          <a:extLst>
            <a:ext uri="{FF2B5EF4-FFF2-40B4-BE49-F238E27FC236}">
              <a16:creationId xmlns:a16="http://schemas.microsoft.com/office/drawing/2014/main" id="{5DDF9089-EA09-4FFE-8363-DBFC2F21EA3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5" name="TextBox 3484">
          <a:extLst>
            <a:ext uri="{FF2B5EF4-FFF2-40B4-BE49-F238E27FC236}">
              <a16:creationId xmlns:a16="http://schemas.microsoft.com/office/drawing/2014/main" id="{B4EF8012-25E2-45EC-B77E-0651681BE97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6" name="TextBox 3485">
          <a:extLst>
            <a:ext uri="{FF2B5EF4-FFF2-40B4-BE49-F238E27FC236}">
              <a16:creationId xmlns:a16="http://schemas.microsoft.com/office/drawing/2014/main" id="{BA7F7C4F-AA71-497F-8CC3-B124A7244FD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7" name="TextBox 1">
          <a:extLst>
            <a:ext uri="{FF2B5EF4-FFF2-40B4-BE49-F238E27FC236}">
              <a16:creationId xmlns:a16="http://schemas.microsoft.com/office/drawing/2014/main" id="{6A24BB89-EFEB-4CA8-9026-2C91E67310D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8" name="TextBox 1">
          <a:extLst>
            <a:ext uri="{FF2B5EF4-FFF2-40B4-BE49-F238E27FC236}">
              <a16:creationId xmlns:a16="http://schemas.microsoft.com/office/drawing/2014/main" id="{EC0D79CC-C22C-4A54-BB35-E3C02D15E4B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9" name="TextBox 3488">
          <a:extLst>
            <a:ext uri="{FF2B5EF4-FFF2-40B4-BE49-F238E27FC236}">
              <a16:creationId xmlns:a16="http://schemas.microsoft.com/office/drawing/2014/main" id="{48489626-1A7F-454A-8AF0-1B1FFD58C8D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0" name="TextBox 3489">
          <a:extLst>
            <a:ext uri="{FF2B5EF4-FFF2-40B4-BE49-F238E27FC236}">
              <a16:creationId xmlns:a16="http://schemas.microsoft.com/office/drawing/2014/main" id="{11ECF5D4-C101-4481-9617-837EE5CBB94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1" name="TextBox 1">
          <a:extLst>
            <a:ext uri="{FF2B5EF4-FFF2-40B4-BE49-F238E27FC236}">
              <a16:creationId xmlns:a16="http://schemas.microsoft.com/office/drawing/2014/main" id="{C947FE90-52F8-4D17-951C-EB93370D1B7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2" name="TextBox 1">
          <a:extLst>
            <a:ext uri="{FF2B5EF4-FFF2-40B4-BE49-F238E27FC236}">
              <a16:creationId xmlns:a16="http://schemas.microsoft.com/office/drawing/2014/main" id="{FB7DAF7A-230C-4DBA-9788-0390CA907D8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3" name="TextBox 3492">
          <a:extLst>
            <a:ext uri="{FF2B5EF4-FFF2-40B4-BE49-F238E27FC236}">
              <a16:creationId xmlns:a16="http://schemas.microsoft.com/office/drawing/2014/main" id="{A4AD30BD-12C4-4ACF-8AFE-80C2FE0C3C8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4" name="TextBox 3493">
          <a:extLst>
            <a:ext uri="{FF2B5EF4-FFF2-40B4-BE49-F238E27FC236}">
              <a16:creationId xmlns:a16="http://schemas.microsoft.com/office/drawing/2014/main" id="{F693B8EA-445F-411B-B516-43C52E59EB5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5" name="TextBox 1">
          <a:extLst>
            <a:ext uri="{FF2B5EF4-FFF2-40B4-BE49-F238E27FC236}">
              <a16:creationId xmlns:a16="http://schemas.microsoft.com/office/drawing/2014/main" id="{9DA254D1-1FD2-48BB-849E-6C5552674C1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6" name="TextBox 1">
          <a:extLst>
            <a:ext uri="{FF2B5EF4-FFF2-40B4-BE49-F238E27FC236}">
              <a16:creationId xmlns:a16="http://schemas.microsoft.com/office/drawing/2014/main" id="{674F745F-2555-40FA-8882-08F14AAC81D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7" name="TextBox 3496">
          <a:extLst>
            <a:ext uri="{FF2B5EF4-FFF2-40B4-BE49-F238E27FC236}">
              <a16:creationId xmlns:a16="http://schemas.microsoft.com/office/drawing/2014/main" id="{0ED2E15D-65E4-493F-9627-B227D89C85B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8" name="TextBox 3497">
          <a:extLst>
            <a:ext uri="{FF2B5EF4-FFF2-40B4-BE49-F238E27FC236}">
              <a16:creationId xmlns:a16="http://schemas.microsoft.com/office/drawing/2014/main" id="{1BA54632-C914-4FAF-9526-54755AD9B00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9" name="TextBox 1">
          <a:extLst>
            <a:ext uri="{FF2B5EF4-FFF2-40B4-BE49-F238E27FC236}">
              <a16:creationId xmlns:a16="http://schemas.microsoft.com/office/drawing/2014/main" id="{AB672161-7FA9-439B-A6DD-367C491BA6A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0" name="TextBox 1">
          <a:extLst>
            <a:ext uri="{FF2B5EF4-FFF2-40B4-BE49-F238E27FC236}">
              <a16:creationId xmlns:a16="http://schemas.microsoft.com/office/drawing/2014/main" id="{D7FD01A2-DE09-48D3-A778-34F3AAF6FD4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1" name="TextBox 3500">
          <a:extLst>
            <a:ext uri="{FF2B5EF4-FFF2-40B4-BE49-F238E27FC236}">
              <a16:creationId xmlns:a16="http://schemas.microsoft.com/office/drawing/2014/main" id="{8746125F-664A-4A88-875A-D744D2A16FC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2" name="TextBox 3501">
          <a:extLst>
            <a:ext uri="{FF2B5EF4-FFF2-40B4-BE49-F238E27FC236}">
              <a16:creationId xmlns:a16="http://schemas.microsoft.com/office/drawing/2014/main" id="{3DF39B03-E3AD-498D-AECE-57629FEA2A3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3" name="TextBox 3502">
          <a:extLst>
            <a:ext uri="{FF2B5EF4-FFF2-40B4-BE49-F238E27FC236}">
              <a16:creationId xmlns:a16="http://schemas.microsoft.com/office/drawing/2014/main" id="{B0DCC4CE-7C72-4CA5-81EB-118B0E5564A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4" name="TextBox 1">
          <a:extLst>
            <a:ext uri="{FF2B5EF4-FFF2-40B4-BE49-F238E27FC236}">
              <a16:creationId xmlns:a16="http://schemas.microsoft.com/office/drawing/2014/main" id="{86603005-AC33-4DF5-9A13-4CA54963E88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5" name="TextBox 1">
          <a:extLst>
            <a:ext uri="{FF2B5EF4-FFF2-40B4-BE49-F238E27FC236}">
              <a16:creationId xmlns:a16="http://schemas.microsoft.com/office/drawing/2014/main" id="{37F08256-8DAE-43AD-BFAB-7D79DE1DD8C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6" name="TextBox 3505">
          <a:extLst>
            <a:ext uri="{FF2B5EF4-FFF2-40B4-BE49-F238E27FC236}">
              <a16:creationId xmlns:a16="http://schemas.microsoft.com/office/drawing/2014/main" id="{BE7BC296-3108-4F1D-87D6-D53A2CC917D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7" name="TextBox 3506">
          <a:extLst>
            <a:ext uri="{FF2B5EF4-FFF2-40B4-BE49-F238E27FC236}">
              <a16:creationId xmlns:a16="http://schemas.microsoft.com/office/drawing/2014/main" id="{F6E9EA47-4C27-4DE0-AAFC-D5FAC9FE287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8" name="TextBox 1">
          <a:extLst>
            <a:ext uri="{FF2B5EF4-FFF2-40B4-BE49-F238E27FC236}">
              <a16:creationId xmlns:a16="http://schemas.microsoft.com/office/drawing/2014/main" id="{7F35F214-45FF-4421-8EFB-5F6DB5344E2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9" name="TextBox 1">
          <a:extLst>
            <a:ext uri="{FF2B5EF4-FFF2-40B4-BE49-F238E27FC236}">
              <a16:creationId xmlns:a16="http://schemas.microsoft.com/office/drawing/2014/main" id="{935F3E28-2940-44AB-B119-7B4FDE67B15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0" name="TextBox 3509">
          <a:extLst>
            <a:ext uri="{FF2B5EF4-FFF2-40B4-BE49-F238E27FC236}">
              <a16:creationId xmlns:a16="http://schemas.microsoft.com/office/drawing/2014/main" id="{F181DD34-3B4F-4824-924B-579DE10C325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1" name="TextBox 3510">
          <a:extLst>
            <a:ext uri="{FF2B5EF4-FFF2-40B4-BE49-F238E27FC236}">
              <a16:creationId xmlns:a16="http://schemas.microsoft.com/office/drawing/2014/main" id="{490056F3-D1B2-4CE3-AC59-D504C077C50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2" name="TextBox 1">
          <a:extLst>
            <a:ext uri="{FF2B5EF4-FFF2-40B4-BE49-F238E27FC236}">
              <a16:creationId xmlns:a16="http://schemas.microsoft.com/office/drawing/2014/main" id="{91725B5E-9DCA-499D-A273-4BF8703159D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3" name="TextBox 1">
          <a:extLst>
            <a:ext uri="{FF2B5EF4-FFF2-40B4-BE49-F238E27FC236}">
              <a16:creationId xmlns:a16="http://schemas.microsoft.com/office/drawing/2014/main" id="{5D15A45B-0B1F-4110-8411-EF13336165D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4" name="TextBox 3513">
          <a:extLst>
            <a:ext uri="{FF2B5EF4-FFF2-40B4-BE49-F238E27FC236}">
              <a16:creationId xmlns:a16="http://schemas.microsoft.com/office/drawing/2014/main" id="{CA3F5282-E1E6-4E2C-B6E8-45DBAEAF6AF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5" name="TextBox 3514">
          <a:extLst>
            <a:ext uri="{FF2B5EF4-FFF2-40B4-BE49-F238E27FC236}">
              <a16:creationId xmlns:a16="http://schemas.microsoft.com/office/drawing/2014/main" id="{74654F71-9225-46A2-BA4A-A90FA3205D5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6" name="TextBox 1">
          <a:extLst>
            <a:ext uri="{FF2B5EF4-FFF2-40B4-BE49-F238E27FC236}">
              <a16:creationId xmlns:a16="http://schemas.microsoft.com/office/drawing/2014/main" id="{16662F8F-BCCC-44E1-AB0B-0FDA7C6CB4A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7" name="TextBox 1">
          <a:extLst>
            <a:ext uri="{FF2B5EF4-FFF2-40B4-BE49-F238E27FC236}">
              <a16:creationId xmlns:a16="http://schemas.microsoft.com/office/drawing/2014/main" id="{1F98811D-6137-401C-898E-F635219A1AF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8" name="TextBox 3517">
          <a:extLst>
            <a:ext uri="{FF2B5EF4-FFF2-40B4-BE49-F238E27FC236}">
              <a16:creationId xmlns:a16="http://schemas.microsoft.com/office/drawing/2014/main" id="{8A29B2D6-1DF7-48F2-AEE2-AA835732362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9" name="TextBox 3518">
          <a:extLst>
            <a:ext uri="{FF2B5EF4-FFF2-40B4-BE49-F238E27FC236}">
              <a16:creationId xmlns:a16="http://schemas.microsoft.com/office/drawing/2014/main" id="{DC411568-DF1F-4675-967A-07C1B4435F2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0" name="TextBox 1">
          <a:extLst>
            <a:ext uri="{FF2B5EF4-FFF2-40B4-BE49-F238E27FC236}">
              <a16:creationId xmlns:a16="http://schemas.microsoft.com/office/drawing/2014/main" id="{631AFA70-617B-4F4B-BB9F-F02A3FF74F6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1" name="TextBox 1">
          <a:extLst>
            <a:ext uri="{FF2B5EF4-FFF2-40B4-BE49-F238E27FC236}">
              <a16:creationId xmlns:a16="http://schemas.microsoft.com/office/drawing/2014/main" id="{1A3C556C-12BF-4212-AD53-6968C526BD8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2" name="TextBox 3521">
          <a:extLst>
            <a:ext uri="{FF2B5EF4-FFF2-40B4-BE49-F238E27FC236}">
              <a16:creationId xmlns:a16="http://schemas.microsoft.com/office/drawing/2014/main" id="{4FE7E0C0-F58A-462E-A88F-A60631AA3A0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3" name="TextBox 3522">
          <a:extLst>
            <a:ext uri="{FF2B5EF4-FFF2-40B4-BE49-F238E27FC236}">
              <a16:creationId xmlns:a16="http://schemas.microsoft.com/office/drawing/2014/main" id="{8F070C6E-4F95-4CA3-8C46-A8E353599F8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4" name="TextBox 1">
          <a:extLst>
            <a:ext uri="{FF2B5EF4-FFF2-40B4-BE49-F238E27FC236}">
              <a16:creationId xmlns:a16="http://schemas.microsoft.com/office/drawing/2014/main" id="{0EFA951D-5DC1-4AC5-9569-F278A91D8B9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5" name="TextBox 1">
          <a:extLst>
            <a:ext uri="{FF2B5EF4-FFF2-40B4-BE49-F238E27FC236}">
              <a16:creationId xmlns:a16="http://schemas.microsoft.com/office/drawing/2014/main" id="{75CF461A-FC1C-4EA9-98E8-D44B8506989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6" name="TextBox 3525">
          <a:extLst>
            <a:ext uri="{FF2B5EF4-FFF2-40B4-BE49-F238E27FC236}">
              <a16:creationId xmlns:a16="http://schemas.microsoft.com/office/drawing/2014/main" id="{338AD9AE-5590-41FD-B000-3535EA6F913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7" name="TextBox 3526">
          <a:extLst>
            <a:ext uri="{FF2B5EF4-FFF2-40B4-BE49-F238E27FC236}">
              <a16:creationId xmlns:a16="http://schemas.microsoft.com/office/drawing/2014/main" id="{1274AF8E-2694-47B7-B211-1D25A4E2497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8" name="TextBox 1">
          <a:extLst>
            <a:ext uri="{FF2B5EF4-FFF2-40B4-BE49-F238E27FC236}">
              <a16:creationId xmlns:a16="http://schemas.microsoft.com/office/drawing/2014/main" id="{76AD9615-2A3D-423D-BB22-64AE158CD7F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9" name="TextBox 1">
          <a:extLst>
            <a:ext uri="{FF2B5EF4-FFF2-40B4-BE49-F238E27FC236}">
              <a16:creationId xmlns:a16="http://schemas.microsoft.com/office/drawing/2014/main" id="{35671A0B-047A-4E3C-8263-D6961157D8A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0" name="TextBox 3529">
          <a:extLst>
            <a:ext uri="{FF2B5EF4-FFF2-40B4-BE49-F238E27FC236}">
              <a16:creationId xmlns:a16="http://schemas.microsoft.com/office/drawing/2014/main" id="{5C12B958-3478-4DFC-8FA0-1949E325CC8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1" name="TextBox 3530">
          <a:extLst>
            <a:ext uri="{FF2B5EF4-FFF2-40B4-BE49-F238E27FC236}">
              <a16:creationId xmlns:a16="http://schemas.microsoft.com/office/drawing/2014/main" id="{82C0BAC6-440A-4A56-AB28-53B7FB04B18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2" name="TextBox 1">
          <a:extLst>
            <a:ext uri="{FF2B5EF4-FFF2-40B4-BE49-F238E27FC236}">
              <a16:creationId xmlns:a16="http://schemas.microsoft.com/office/drawing/2014/main" id="{C44FCAD6-D986-4684-99B6-9A964A419F6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3" name="TextBox 1">
          <a:extLst>
            <a:ext uri="{FF2B5EF4-FFF2-40B4-BE49-F238E27FC236}">
              <a16:creationId xmlns:a16="http://schemas.microsoft.com/office/drawing/2014/main" id="{2A13ECD1-1AE7-48EB-AFBB-D665980E078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4" name="TextBox 3533">
          <a:extLst>
            <a:ext uri="{FF2B5EF4-FFF2-40B4-BE49-F238E27FC236}">
              <a16:creationId xmlns:a16="http://schemas.microsoft.com/office/drawing/2014/main" id="{6A96FC79-8BE7-417D-9D36-2FDD1300C08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5" name="TextBox 3534">
          <a:extLst>
            <a:ext uri="{FF2B5EF4-FFF2-40B4-BE49-F238E27FC236}">
              <a16:creationId xmlns:a16="http://schemas.microsoft.com/office/drawing/2014/main" id="{F0F827FF-04EB-4C94-894A-33353F5969B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6" name="TextBox 1">
          <a:extLst>
            <a:ext uri="{FF2B5EF4-FFF2-40B4-BE49-F238E27FC236}">
              <a16:creationId xmlns:a16="http://schemas.microsoft.com/office/drawing/2014/main" id="{13A1FDFD-BADA-44AD-A56A-7D46C2589AC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7" name="TextBox 1">
          <a:extLst>
            <a:ext uri="{FF2B5EF4-FFF2-40B4-BE49-F238E27FC236}">
              <a16:creationId xmlns:a16="http://schemas.microsoft.com/office/drawing/2014/main" id="{260DB3DB-391D-4F5E-BD54-4BFE9CF27B0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8" name="TextBox 3537">
          <a:extLst>
            <a:ext uri="{FF2B5EF4-FFF2-40B4-BE49-F238E27FC236}">
              <a16:creationId xmlns:a16="http://schemas.microsoft.com/office/drawing/2014/main" id="{E504AFE4-3DC3-4286-8D0A-BC73B5EDE93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9" name="TextBox 3538">
          <a:extLst>
            <a:ext uri="{FF2B5EF4-FFF2-40B4-BE49-F238E27FC236}">
              <a16:creationId xmlns:a16="http://schemas.microsoft.com/office/drawing/2014/main" id="{1B308635-240B-4231-A2AD-83FE283EAB4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0" name="TextBox 1">
          <a:extLst>
            <a:ext uri="{FF2B5EF4-FFF2-40B4-BE49-F238E27FC236}">
              <a16:creationId xmlns:a16="http://schemas.microsoft.com/office/drawing/2014/main" id="{54EA1AC9-1B57-4EF4-B2A0-F48FFC08C55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1" name="TextBox 1">
          <a:extLst>
            <a:ext uri="{FF2B5EF4-FFF2-40B4-BE49-F238E27FC236}">
              <a16:creationId xmlns:a16="http://schemas.microsoft.com/office/drawing/2014/main" id="{21B3FFC0-F94C-404F-BAAA-92128300EA5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2" name="TextBox 3541">
          <a:extLst>
            <a:ext uri="{FF2B5EF4-FFF2-40B4-BE49-F238E27FC236}">
              <a16:creationId xmlns:a16="http://schemas.microsoft.com/office/drawing/2014/main" id="{CC3981DA-0F56-4522-B1A9-3E30BE34713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3" name="TextBox 3542">
          <a:extLst>
            <a:ext uri="{FF2B5EF4-FFF2-40B4-BE49-F238E27FC236}">
              <a16:creationId xmlns:a16="http://schemas.microsoft.com/office/drawing/2014/main" id="{1480E651-A512-485C-AD9A-DEC1A9ECBF7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4" name="TextBox 1">
          <a:extLst>
            <a:ext uri="{FF2B5EF4-FFF2-40B4-BE49-F238E27FC236}">
              <a16:creationId xmlns:a16="http://schemas.microsoft.com/office/drawing/2014/main" id="{4876A89E-A8A2-4E1D-B620-13F99B44592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5" name="TextBox 1">
          <a:extLst>
            <a:ext uri="{FF2B5EF4-FFF2-40B4-BE49-F238E27FC236}">
              <a16:creationId xmlns:a16="http://schemas.microsoft.com/office/drawing/2014/main" id="{3375B657-3CD0-4478-8837-8846329136A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6" name="TextBox 3545">
          <a:extLst>
            <a:ext uri="{FF2B5EF4-FFF2-40B4-BE49-F238E27FC236}">
              <a16:creationId xmlns:a16="http://schemas.microsoft.com/office/drawing/2014/main" id="{A3CA438F-7C96-46A0-A4A7-E9AC24FF1AD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7" name="TextBox 3546">
          <a:extLst>
            <a:ext uri="{FF2B5EF4-FFF2-40B4-BE49-F238E27FC236}">
              <a16:creationId xmlns:a16="http://schemas.microsoft.com/office/drawing/2014/main" id="{02193169-9DC1-42E4-8299-9631CC07AC5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8" name="TextBox 3547">
          <a:extLst>
            <a:ext uri="{FF2B5EF4-FFF2-40B4-BE49-F238E27FC236}">
              <a16:creationId xmlns:a16="http://schemas.microsoft.com/office/drawing/2014/main" id="{0BE68F88-F082-495D-AE10-042550414AC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9" name="TextBox 1">
          <a:extLst>
            <a:ext uri="{FF2B5EF4-FFF2-40B4-BE49-F238E27FC236}">
              <a16:creationId xmlns:a16="http://schemas.microsoft.com/office/drawing/2014/main" id="{ADD084E9-065D-46D1-BFCC-41605711D02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0" name="TextBox 1">
          <a:extLst>
            <a:ext uri="{FF2B5EF4-FFF2-40B4-BE49-F238E27FC236}">
              <a16:creationId xmlns:a16="http://schemas.microsoft.com/office/drawing/2014/main" id="{00309DC2-28B7-48E4-8FFD-DFB5E6BA0B5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1" name="TextBox 3550">
          <a:extLst>
            <a:ext uri="{FF2B5EF4-FFF2-40B4-BE49-F238E27FC236}">
              <a16:creationId xmlns:a16="http://schemas.microsoft.com/office/drawing/2014/main" id="{4B80E668-50CA-42DA-A540-593EFE3D39A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2" name="TextBox 3551">
          <a:extLst>
            <a:ext uri="{FF2B5EF4-FFF2-40B4-BE49-F238E27FC236}">
              <a16:creationId xmlns:a16="http://schemas.microsoft.com/office/drawing/2014/main" id="{40E4AA3B-22C8-48CD-9C54-EF078A38931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3" name="TextBox 1">
          <a:extLst>
            <a:ext uri="{FF2B5EF4-FFF2-40B4-BE49-F238E27FC236}">
              <a16:creationId xmlns:a16="http://schemas.microsoft.com/office/drawing/2014/main" id="{F38D6076-7D41-475F-A9FC-D1F67BAE3C6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4" name="TextBox 1">
          <a:extLst>
            <a:ext uri="{FF2B5EF4-FFF2-40B4-BE49-F238E27FC236}">
              <a16:creationId xmlns:a16="http://schemas.microsoft.com/office/drawing/2014/main" id="{30FC4EB0-F46C-40CA-A38C-02A35A4F9FC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5" name="TextBox 3554">
          <a:extLst>
            <a:ext uri="{FF2B5EF4-FFF2-40B4-BE49-F238E27FC236}">
              <a16:creationId xmlns:a16="http://schemas.microsoft.com/office/drawing/2014/main" id="{23974212-62EF-4F46-A57D-3D520A0EC8E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6" name="TextBox 3555">
          <a:extLst>
            <a:ext uri="{FF2B5EF4-FFF2-40B4-BE49-F238E27FC236}">
              <a16:creationId xmlns:a16="http://schemas.microsoft.com/office/drawing/2014/main" id="{59F4EE9F-79D2-44D5-91CF-98E6854E5E3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7" name="TextBox 1">
          <a:extLst>
            <a:ext uri="{FF2B5EF4-FFF2-40B4-BE49-F238E27FC236}">
              <a16:creationId xmlns:a16="http://schemas.microsoft.com/office/drawing/2014/main" id="{1D26EF7F-48FB-4828-8233-D05BDE40DD7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8" name="TextBox 1">
          <a:extLst>
            <a:ext uri="{FF2B5EF4-FFF2-40B4-BE49-F238E27FC236}">
              <a16:creationId xmlns:a16="http://schemas.microsoft.com/office/drawing/2014/main" id="{A93D3907-4342-43EA-A713-F102DE5BA13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9" name="TextBox 3558">
          <a:extLst>
            <a:ext uri="{FF2B5EF4-FFF2-40B4-BE49-F238E27FC236}">
              <a16:creationId xmlns:a16="http://schemas.microsoft.com/office/drawing/2014/main" id="{BCF74A69-B636-4EF0-8D52-9EFEE60B2D2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0" name="TextBox 3559">
          <a:extLst>
            <a:ext uri="{FF2B5EF4-FFF2-40B4-BE49-F238E27FC236}">
              <a16:creationId xmlns:a16="http://schemas.microsoft.com/office/drawing/2014/main" id="{2900012D-1D72-49FE-9928-E1C28F96754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1" name="TextBox 1">
          <a:extLst>
            <a:ext uri="{FF2B5EF4-FFF2-40B4-BE49-F238E27FC236}">
              <a16:creationId xmlns:a16="http://schemas.microsoft.com/office/drawing/2014/main" id="{E3557AB1-94A0-4128-94FA-BFD7C149CD6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2" name="TextBox 1">
          <a:extLst>
            <a:ext uri="{FF2B5EF4-FFF2-40B4-BE49-F238E27FC236}">
              <a16:creationId xmlns:a16="http://schemas.microsoft.com/office/drawing/2014/main" id="{A51AD2C7-5D62-4609-A849-06071D623DC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3" name="TextBox 3562">
          <a:extLst>
            <a:ext uri="{FF2B5EF4-FFF2-40B4-BE49-F238E27FC236}">
              <a16:creationId xmlns:a16="http://schemas.microsoft.com/office/drawing/2014/main" id="{50C7E691-517D-4B48-BCAD-D4F229B784B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4" name="TextBox 3563">
          <a:extLst>
            <a:ext uri="{FF2B5EF4-FFF2-40B4-BE49-F238E27FC236}">
              <a16:creationId xmlns:a16="http://schemas.microsoft.com/office/drawing/2014/main" id="{72BBBD8B-088A-445E-9D13-5D32561F8EC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5" name="TextBox 1">
          <a:extLst>
            <a:ext uri="{FF2B5EF4-FFF2-40B4-BE49-F238E27FC236}">
              <a16:creationId xmlns:a16="http://schemas.microsoft.com/office/drawing/2014/main" id="{DD80B9AA-1BD8-498C-A030-42AB226E68D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6" name="TextBox 1">
          <a:extLst>
            <a:ext uri="{FF2B5EF4-FFF2-40B4-BE49-F238E27FC236}">
              <a16:creationId xmlns:a16="http://schemas.microsoft.com/office/drawing/2014/main" id="{91599BE9-C1E6-450B-9FC3-C9A2B63CF41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7" name="TextBox 3566">
          <a:extLst>
            <a:ext uri="{FF2B5EF4-FFF2-40B4-BE49-F238E27FC236}">
              <a16:creationId xmlns:a16="http://schemas.microsoft.com/office/drawing/2014/main" id="{E5BEB7FA-1D0D-4E96-9408-03BC0EDF6E4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8" name="TextBox 3567">
          <a:extLst>
            <a:ext uri="{FF2B5EF4-FFF2-40B4-BE49-F238E27FC236}">
              <a16:creationId xmlns:a16="http://schemas.microsoft.com/office/drawing/2014/main" id="{CD426AB3-CB5A-4B16-8CCA-FA25C7D8303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9" name="TextBox 1">
          <a:extLst>
            <a:ext uri="{FF2B5EF4-FFF2-40B4-BE49-F238E27FC236}">
              <a16:creationId xmlns:a16="http://schemas.microsoft.com/office/drawing/2014/main" id="{223519D1-AC29-4F08-8CA9-9337E988677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0" name="TextBox 1">
          <a:extLst>
            <a:ext uri="{FF2B5EF4-FFF2-40B4-BE49-F238E27FC236}">
              <a16:creationId xmlns:a16="http://schemas.microsoft.com/office/drawing/2014/main" id="{5FBAFF9C-8C57-4A6D-9A0B-6DB8A27AA27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1" name="TextBox 3570">
          <a:extLst>
            <a:ext uri="{FF2B5EF4-FFF2-40B4-BE49-F238E27FC236}">
              <a16:creationId xmlns:a16="http://schemas.microsoft.com/office/drawing/2014/main" id="{53EA4EBC-A960-4744-A4B5-6BF54DEF8A6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2" name="TextBox 3571">
          <a:extLst>
            <a:ext uri="{FF2B5EF4-FFF2-40B4-BE49-F238E27FC236}">
              <a16:creationId xmlns:a16="http://schemas.microsoft.com/office/drawing/2014/main" id="{6D0EAC9B-E757-419E-8995-20DD6ED9C92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3" name="TextBox 1">
          <a:extLst>
            <a:ext uri="{FF2B5EF4-FFF2-40B4-BE49-F238E27FC236}">
              <a16:creationId xmlns:a16="http://schemas.microsoft.com/office/drawing/2014/main" id="{7AFDB294-8E0B-47C5-98F4-1F687D24ADF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4" name="TextBox 1">
          <a:extLst>
            <a:ext uri="{FF2B5EF4-FFF2-40B4-BE49-F238E27FC236}">
              <a16:creationId xmlns:a16="http://schemas.microsoft.com/office/drawing/2014/main" id="{4F4D492F-15BD-4CB2-AB7F-74912C1503F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5" name="TextBox 3574">
          <a:extLst>
            <a:ext uri="{FF2B5EF4-FFF2-40B4-BE49-F238E27FC236}">
              <a16:creationId xmlns:a16="http://schemas.microsoft.com/office/drawing/2014/main" id="{66B450C5-F333-43BD-B539-60330A17E8F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6" name="TextBox 3575">
          <a:extLst>
            <a:ext uri="{FF2B5EF4-FFF2-40B4-BE49-F238E27FC236}">
              <a16:creationId xmlns:a16="http://schemas.microsoft.com/office/drawing/2014/main" id="{E57ECE1B-A20E-497E-A542-366DF05F2F4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7" name="TextBox 1">
          <a:extLst>
            <a:ext uri="{FF2B5EF4-FFF2-40B4-BE49-F238E27FC236}">
              <a16:creationId xmlns:a16="http://schemas.microsoft.com/office/drawing/2014/main" id="{57BE8041-086F-4189-8428-D2F7560E5C3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8" name="TextBox 1">
          <a:extLst>
            <a:ext uri="{FF2B5EF4-FFF2-40B4-BE49-F238E27FC236}">
              <a16:creationId xmlns:a16="http://schemas.microsoft.com/office/drawing/2014/main" id="{85318BD5-B178-4818-8887-C75FBAAB754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9" name="TextBox 3578">
          <a:extLst>
            <a:ext uri="{FF2B5EF4-FFF2-40B4-BE49-F238E27FC236}">
              <a16:creationId xmlns:a16="http://schemas.microsoft.com/office/drawing/2014/main" id="{5F4F56D7-7E89-403A-93D6-36AFE013B9A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0" name="TextBox 3579">
          <a:extLst>
            <a:ext uri="{FF2B5EF4-FFF2-40B4-BE49-F238E27FC236}">
              <a16:creationId xmlns:a16="http://schemas.microsoft.com/office/drawing/2014/main" id="{84D86CEB-89D3-40C4-ADDA-1AC2712211C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1" name="TextBox 1">
          <a:extLst>
            <a:ext uri="{FF2B5EF4-FFF2-40B4-BE49-F238E27FC236}">
              <a16:creationId xmlns:a16="http://schemas.microsoft.com/office/drawing/2014/main" id="{C9CA62AA-583F-4C7D-B4B4-C409996DEAD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2" name="TextBox 1">
          <a:extLst>
            <a:ext uri="{FF2B5EF4-FFF2-40B4-BE49-F238E27FC236}">
              <a16:creationId xmlns:a16="http://schemas.microsoft.com/office/drawing/2014/main" id="{E739F0D3-7183-48DA-8208-AFE21E94401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3" name="TextBox 3582">
          <a:extLst>
            <a:ext uri="{FF2B5EF4-FFF2-40B4-BE49-F238E27FC236}">
              <a16:creationId xmlns:a16="http://schemas.microsoft.com/office/drawing/2014/main" id="{29ED5D70-D583-4695-B9D4-66541BAC784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4" name="TextBox 1">
          <a:extLst>
            <a:ext uri="{FF2B5EF4-FFF2-40B4-BE49-F238E27FC236}">
              <a16:creationId xmlns:a16="http://schemas.microsoft.com/office/drawing/2014/main" id="{CD8CC7FC-97CE-4765-A045-66F9F6E98E5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5" name="TextBox 1">
          <a:extLst>
            <a:ext uri="{FF2B5EF4-FFF2-40B4-BE49-F238E27FC236}">
              <a16:creationId xmlns:a16="http://schemas.microsoft.com/office/drawing/2014/main" id="{AD8D2E8E-4FF5-463B-8E87-31BC2462EE6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6" name="TextBox 3585">
          <a:extLst>
            <a:ext uri="{FF2B5EF4-FFF2-40B4-BE49-F238E27FC236}">
              <a16:creationId xmlns:a16="http://schemas.microsoft.com/office/drawing/2014/main" id="{CCF44E1D-0358-4C75-B123-B254093794E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7" name="TextBox 1">
          <a:extLst>
            <a:ext uri="{FF2B5EF4-FFF2-40B4-BE49-F238E27FC236}">
              <a16:creationId xmlns:a16="http://schemas.microsoft.com/office/drawing/2014/main" id="{34CBAC06-0838-451E-A1E3-7E8AD080284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8" name="TextBox 3587">
          <a:extLst>
            <a:ext uri="{FF2B5EF4-FFF2-40B4-BE49-F238E27FC236}">
              <a16:creationId xmlns:a16="http://schemas.microsoft.com/office/drawing/2014/main" id="{8C653D49-C178-4290-A40B-0E068F24954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9" name="TextBox 1">
          <a:extLst>
            <a:ext uri="{FF2B5EF4-FFF2-40B4-BE49-F238E27FC236}">
              <a16:creationId xmlns:a16="http://schemas.microsoft.com/office/drawing/2014/main" id="{181570E8-3A59-46E6-92F1-B68CBC9E347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0" name="TextBox 1">
          <a:extLst>
            <a:ext uri="{FF2B5EF4-FFF2-40B4-BE49-F238E27FC236}">
              <a16:creationId xmlns:a16="http://schemas.microsoft.com/office/drawing/2014/main" id="{FCB68701-2B70-44EE-921E-DA441729FD1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1" name="TextBox 3590">
          <a:extLst>
            <a:ext uri="{FF2B5EF4-FFF2-40B4-BE49-F238E27FC236}">
              <a16:creationId xmlns:a16="http://schemas.microsoft.com/office/drawing/2014/main" id="{F5D425F8-027C-4CE1-B4B3-1790EE92F69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2" name="TextBox 3591">
          <a:extLst>
            <a:ext uri="{FF2B5EF4-FFF2-40B4-BE49-F238E27FC236}">
              <a16:creationId xmlns:a16="http://schemas.microsoft.com/office/drawing/2014/main" id="{318FE40F-194C-4B19-8FD9-440A9EDF792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3" name="TextBox 1">
          <a:extLst>
            <a:ext uri="{FF2B5EF4-FFF2-40B4-BE49-F238E27FC236}">
              <a16:creationId xmlns:a16="http://schemas.microsoft.com/office/drawing/2014/main" id="{8E2282F8-C1E1-4C16-8E6B-8516034F7F7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4" name="TextBox 1">
          <a:extLst>
            <a:ext uri="{FF2B5EF4-FFF2-40B4-BE49-F238E27FC236}">
              <a16:creationId xmlns:a16="http://schemas.microsoft.com/office/drawing/2014/main" id="{B4C1A6C9-C734-4B9B-8A27-0C5AD08D18B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5" name="TextBox 3594">
          <a:extLst>
            <a:ext uri="{FF2B5EF4-FFF2-40B4-BE49-F238E27FC236}">
              <a16:creationId xmlns:a16="http://schemas.microsoft.com/office/drawing/2014/main" id="{BBAE0BAF-DAED-4904-A3C1-928C1C48217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6" name="TextBox 3595">
          <a:extLst>
            <a:ext uri="{FF2B5EF4-FFF2-40B4-BE49-F238E27FC236}">
              <a16:creationId xmlns:a16="http://schemas.microsoft.com/office/drawing/2014/main" id="{1B6954E4-34D1-4899-A7BA-E535C15DC45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7" name="TextBox 3596">
          <a:extLst>
            <a:ext uri="{FF2B5EF4-FFF2-40B4-BE49-F238E27FC236}">
              <a16:creationId xmlns:a16="http://schemas.microsoft.com/office/drawing/2014/main" id="{48486B1F-FA1D-41AB-B619-0F64C3C3F22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8" name="TextBox 1">
          <a:extLst>
            <a:ext uri="{FF2B5EF4-FFF2-40B4-BE49-F238E27FC236}">
              <a16:creationId xmlns:a16="http://schemas.microsoft.com/office/drawing/2014/main" id="{E6C69F0F-6FAF-478F-8CEB-E245E26A71A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9" name="TextBox 1">
          <a:extLst>
            <a:ext uri="{FF2B5EF4-FFF2-40B4-BE49-F238E27FC236}">
              <a16:creationId xmlns:a16="http://schemas.microsoft.com/office/drawing/2014/main" id="{BCAD2987-67FC-4CA5-93C2-5B443013D9F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0" name="TextBox 3599">
          <a:extLst>
            <a:ext uri="{FF2B5EF4-FFF2-40B4-BE49-F238E27FC236}">
              <a16:creationId xmlns:a16="http://schemas.microsoft.com/office/drawing/2014/main" id="{D89DE2E2-0EEF-4ED4-A69F-7B2996D5EDA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1" name="TextBox 3600">
          <a:extLst>
            <a:ext uri="{FF2B5EF4-FFF2-40B4-BE49-F238E27FC236}">
              <a16:creationId xmlns:a16="http://schemas.microsoft.com/office/drawing/2014/main" id="{4081DD3C-4E69-45EB-B7E6-26244C0088C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2" name="TextBox 1">
          <a:extLst>
            <a:ext uri="{FF2B5EF4-FFF2-40B4-BE49-F238E27FC236}">
              <a16:creationId xmlns:a16="http://schemas.microsoft.com/office/drawing/2014/main" id="{C2CDAF7A-425D-4FFA-90E4-EA8F6D9B158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3" name="TextBox 1">
          <a:extLst>
            <a:ext uri="{FF2B5EF4-FFF2-40B4-BE49-F238E27FC236}">
              <a16:creationId xmlns:a16="http://schemas.microsoft.com/office/drawing/2014/main" id="{DD40E9DB-0ECB-479B-A70E-DF7645D1121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4" name="TextBox 3603">
          <a:extLst>
            <a:ext uri="{FF2B5EF4-FFF2-40B4-BE49-F238E27FC236}">
              <a16:creationId xmlns:a16="http://schemas.microsoft.com/office/drawing/2014/main" id="{E201FD5E-6908-4527-B459-459A10858C2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5" name="TextBox 3604">
          <a:extLst>
            <a:ext uri="{FF2B5EF4-FFF2-40B4-BE49-F238E27FC236}">
              <a16:creationId xmlns:a16="http://schemas.microsoft.com/office/drawing/2014/main" id="{FF51EF55-2C30-4177-BE05-A26FE833F8A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6" name="TextBox 1">
          <a:extLst>
            <a:ext uri="{FF2B5EF4-FFF2-40B4-BE49-F238E27FC236}">
              <a16:creationId xmlns:a16="http://schemas.microsoft.com/office/drawing/2014/main" id="{7F75B531-BC13-4A28-9A5B-2080F97520F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7" name="TextBox 1">
          <a:extLst>
            <a:ext uri="{FF2B5EF4-FFF2-40B4-BE49-F238E27FC236}">
              <a16:creationId xmlns:a16="http://schemas.microsoft.com/office/drawing/2014/main" id="{1E3A9639-55B0-43DB-B45A-43988A19F17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8" name="TextBox 3607">
          <a:extLst>
            <a:ext uri="{FF2B5EF4-FFF2-40B4-BE49-F238E27FC236}">
              <a16:creationId xmlns:a16="http://schemas.microsoft.com/office/drawing/2014/main" id="{4AAB1B90-4D2E-46C6-9EE2-B2982E82008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9" name="TextBox 3608">
          <a:extLst>
            <a:ext uri="{FF2B5EF4-FFF2-40B4-BE49-F238E27FC236}">
              <a16:creationId xmlns:a16="http://schemas.microsoft.com/office/drawing/2014/main" id="{7559CAB2-335E-4D18-A77B-4BDE73ADD24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0" name="TextBox 1">
          <a:extLst>
            <a:ext uri="{FF2B5EF4-FFF2-40B4-BE49-F238E27FC236}">
              <a16:creationId xmlns:a16="http://schemas.microsoft.com/office/drawing/2014/main" id="{8316D8CD-C270-4E4F-BB53-C695E9744AE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1" name="TextBox 1">
          <a:extLst>
            <a:ext uri="{FF2B5EF4-FFF2-40B4-BE49-F238E27FC236}">
              <a16:creationId xmlns:a16="http://schemas.microsoft.com/office/drawing/2014/main" id="{63755521-16C8-434A-9F9D-FC51D8D9D90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2" name="TextBox 3611">
          <a:extLst>
            <a:ext uri="{FF2B5EF4-FFF2-40B4-BE49-F238E27FC236}">
              <a16:creationId xmlns:a16="http://schemas.microsoft.com/office/drawing/2014/main" id="{E8BE5114-DBE9-4AA1-95EE-CAF3F2C0B67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3" name="TextBox 3612">
          <a:extLst>
            <a:ext uri="{FF2B5EF4-FFF2-40B4-BE49-F238E27FC236}">
              <a16:creationId xmlns:a16="http://schemas.microsoft.com/office/drawing/2014/main" id="{2168740F-9AE7-4D52-99AA-29B823833B8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4" name="TextBox 1">
          <a:extLst>
            <a:ext uri="{FF2B5EF4-FFF2-40B4-BE49-F238E27FC236}">
              <a16:creationId xmlns:a16="http://schemas.microsoft.com/office/drawing/2014/main" id="{17A6F92E-8DC5-4986-94A2-CB363346534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5" name="TextBox 1">
          <a:extLst>
            <a:ext uri="{FF2B5EF4-FFF2-40B4-BE49-F238E27FC236}">
              <a16:creationId xmlns:a16="http://schemas.microsoft.com/office/drawing/2014/main" id="{DDF1CE03-2BB7-43CE-95F8-FEE72B43924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6" name="TextBox 3615">
          <a:extLst>
            <a:ext uri="{FF2B5EF4-FFF2-40B4-BE49-F238E27FC236}">
              <a16:creationId xmlns:a16="http://schemas.microsoft.com/office/drawing/2014/main" id="{77242444-B6BA-4056-A49B-F4FFF42EEC2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7" name="TextBox 3616">
          <a:extLst>
            <a:ext uri="{FF2B5EF4-FFF2-40B4-BE49-F238E27FC236}">
              <a16:creationId xmlns:a16="http://schemas.microsoft.com/office/drawing/2014/main" id="{6CBE6887-6E19-489B-A02C-E5F3929D4CE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8" name="TextBox 1">
          <a:extLst>
            <a:ext uri="{FF2B5EF4-FFF2-40B4-BE49-F238E27FC236}">
              <a16:creationId xmlns:a16="http://schemas.microsoft.com/office/drawing/2014/main" id="{4C537201-6CC0-4000-82EC-C0C5AA79DD1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9" name="TextBox 1">
          <a:extLst>
            <a:ext uri="{FF2B5EF4-FFF2-40B4-BE49-F238E27FC236}">
              <a16:creationId xmlns:a16="http://schemas.microsoft.com/office/drawing/2014/main" id="{94D6D3A0-97A2-4AA4-AFBF-565F4D3DFD8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0" name="TextBox 3619">
          <a:extLst>
            <a:ext uri="{FF2B5EF4-FFF2-40B4-BE49-F238E27FC236}">
              <a16:creationId xmlns:a16="http://schemas.microsoft.com/office/drawing/2014/main" id="{4F3D0B7E-39B7-4805-8955-7216FC3CB16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1" name="TextBox 3620">
          <a:extLst>
            <a:ext uri="{FF2B5EF4-FFF2-40B4-BE49-F238E27FC236}">
              <a16:creationId xmlns:a16="http://schemas.microsoft.com/office/drawing/2014/main" id="{C4D69ECC-C26F-4024-96D5-50A26E836C1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2" name="TextBox 1">
          <a:extLst>
            <a:ext uri="{FF2B5EF4-FFF2-40B4-BE49-F238E27FC236}">
              <a16:creationId xmlns:a16="http://schemas.microsoft.com/office/drawing/2014/main" id="{836C98A1-0859-4CAB-B934-7AAED959172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3" name="TextBox 1">
          <a:extLst>
            <a:ext uri="{FF2B5EF4-FFF2-40B4-BE49-F238E27FC236}">
              <a16:creationId xmlns:a16="http://schemas.microsoft.com/office/drawing/2014/main" id="{7684A474-0E44-4EAA-93EE-E0258CB6A01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4" name="TextBox 3623">
          <a:extLst>
            <a:ext uri="{FF2B5EF4-FFF2-40B4-BE49-F238E27FC236}">
              <a16:creationId xmlns:a16="http://schemas.microsoft.com/office/drawing/2014/main" id="{02F737A6-3467-40A4-98AE-329AF884761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5" name="TextBox 3624">
          <a:extLst>
            <a:ext uri="{FF2B5EF4-FFF2-40B4-BE49-F238E27FC236}">
              <a16:creationId xmlns:a16="http://schemas.microsoft.com/office/drawing/2014/main" id="{AB4AF976-922D-49BB-88D1-A0EDACE7F52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6" name="TextBox 1">
          <a:extLst>
            <a:ext uri="{FF2B5EF4-FFF2-40B4-BE49-F238E27FC236}">
              <a16:creationId xmlns:a16="http://schemas.microsoft.com/office/drawing/2014/main" id="{51B71804-288D-4393-B59F-2049339D8B4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7" name="TextBox 1">
          <a:extLst>
            <a:ext uri="{FF2B5EF4-FFF2-40B4-BE49-F238E27FC236}">
              <a16:creationId xmlns:a16="http://schemas.microsoft.com/office/drawing/2014/main" id="{442985CE-4513-4210-8385-7459BF3E89F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8" name="TextBox 3627">
          <a:extLst>
            <a:ext uri="{FF2B5EF4-FFF2-40B4-BE49-F238E27FC236}">
              <a16:creationId xmlns:a16="http://schemas.microsoft.com/office/drawing/2014/main" id="{710ECCD1-64D3-4DFE-8FFA-FEF83A19755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9" name="TextBox 3628">
          <a:extLst>
            <a:ext uri="{FF2B5EF4-FFF2-40B4-BE49-F238E27FC236}">
              <a16:creationId xmlns:a16="http://schemas.microsoft.com/office/drawing/2014/main" id="{D397AC66-C072-44F5-83EF-6F591F4796E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0" name="TextBox 1">
          <a:extLst>
            <a:ext uri="{FF2B5EF4-FFF2-40B4-BE49-F238E27FC236}">
              <a16:creationId xmlns:a16="http://schemas.microsoft.com/office/drawing/2014/main" id="{AACB6B4F-6B23-404C-82A1-113630F87D9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1" name="TextBox 1">
          <a:extLst>
            <a:ext uri="{FF2B5EF4-FFF2-40B4-BE49-F238E27FC236}">
              <a16:creationId xmlns:a16="http://schemas.microsoft.com/office/drawing/2014/main" id="{CEC31D37-6494-4297-BBDA-34B5A633751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2" name="TextBox 3631">
          <a:extLst>
            <a:ext uri="{FF2B5EF4-FFF2-40B4-BE49-F238E27FC236}">
              <a16:creationId xmlns:a16="http://schemas.microsoft.com/office/drawing/2014/main" id="{7A279524-C96E-4745-8205-4DFAB58B137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3" name="TextBox 3632">
          <a:extLst>
            <a:ext uri="{FF2B5EF4-FFF2-40B4-BE49-F238E27FC236}">
              <a16:creationId xmlns:a16="http://schemas.microsoft.com/office/drawing/2014/main" id="{1160BD80-A99C-4FC4-BEE6-54F55B357CB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4" name="TextBox 3633">
          <a:extLst>
            <a:ext uri="{FF2B5EF4-FFF2-40B4-BE49-F238E27FC236}">
              <a16:creationId xmlns:a16="http://schemas.microsoft.com/office/drawing/2014/main" id="{56F82B73-94EB-480C-9CFF-4F37F248435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5" name="TextBox 1">
          <a:extLst>
            <a:ext uri="{FF2B5EF4-FFF2-40B4-BE49-F238E27FC236}">
              <a16:creationId xmlns:a16="http://schemas.microsoft.com/office/drawing/2014/main" id="{BE362828-6BA2-4A5B-976F-685C2D6C319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6" name="TextBox 1">
          <a:extLst>
            <a:ext uri="{FF2B5EF4-FFF2-40B4-BE49-F238E27FC236}">
              <a16:creationId xmlns:a16="http://schemas.microsoft.com/office/drawing/2014/main" id="{FB00350B-2A00-44C1-AA9F-042A71B4365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7" name="TextBox 3636">
          <a:extLst>
            <a:ext uri="{FF2B5EF4-FFF2-40B4-BE49-F238E27FC236}">
              <a16:creationId xmlns:a16="http://schemas.microsoft.com/office/drawing/2014/main" id="{F9107B75-C151-4651-97A3-C68A9454665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8" name="TextBox 3637">
          <a:extLst>
            <a:ext uri="{FF2B5EF4-FFF2-40B4-BE49-F238E27FC236}">
              <a16:creationId xmlns:a16="http://schemas.microsoft.com/office/drawing/2014/main" id="{D0A40F2E-9E62-4BE7-8DBF-D727625CEA3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9" name="TextBox 1">
          <a:extLst>
            <a:ext uri="{FF2B5EF4-FFF2-40B4-BE49-F238E27FC236}">
              <a16:creationId xmlns:a16="http://schemas.microsoft.com/office/drawing/2014/main" id="{60226CC7-58EB-41CE-B0A0-A11FBC929A3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0" name="TextBox 1">
          <a:extLst>
            <a:ext uri="{FF2B5EF4-FFF2-40B4-BE49-F238E27FC236}">
              <a16:creationId xmlns:a16="http://schemas.microsoft.com/office/drawing/2014/main" id="{0DE772A5-D19F-4774-AD63-822BA8ED942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1" name="TextBox 3640">
          <a:extLst>
            <a:ext uri="{FF2B5EF4-FFF2-40B4-BE49-F238E27FC236}">
              <a16:creationId xmlns:a16="http://schemas.microsoft.com/office/drawing/2014/main" id="{7C2FE012-869E-43FF-96C5-D4E5447EA8C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2" name="TextBox 3641">
          <a:extLst>
            <a:ext uri="{FF2B5EF4-FFF2-40B4-BE49-F238E27FC236}">
              <a16:creationId xmlns:a16="http://schemas.microsoft.com/office/drawing/2014/main" id="{81C58413-080E-4119-8B5F-2104F603B82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3" name="TextBox 1">
          <a:extLst>
            <a:ext uri="{FF2B5EF4-FFF2-40B4-BE49-F238E27FC236}">
              <a16:creationId xmlns:a16="http://schemas.microsoft.com/office/drawing/2014/main" id="{76F44C79-3A69-4C7A-88D7-A12D78D5F05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4" name="TextBox 1">
          <a:extLst>
            <a:ext uri="{FF2B5EF4-FFF2-40B4-BE49-F238E27FC236}">
              <a16:creationId xmlns:a16="http://schemas.microsoft.com/office/drawing/2014/main" id="{490B7D21-1641-4A61-8646-0ABE6461425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5" name="TextBox 3644">
          <a:extLst>
            <a:ext uri="{FF2B5EF4-FFF2-40B4-BE49-F238E27FC236}">
              <a16:creationId xmlns:a16="http://schemas.microsoft.com/office/drawing/2014/main" id="{AE48FD4F-EBCB-4C9B-BAD6-7D958AAE356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6" name="TextBox 3645">
          <a:extLst>
            <a:ext uri="{FF2B5EF4-FFF2-40B4-BE49-F238E27FC236}">
              <a16:creationId xmlns:a16="http://schemas.microsoft.com/office/drawing/2014/main" id="{25FA8028-E046-42DB-9468-87A91E28320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7" name="TextBox 1">
          <a:extLst>
            <a:ext uri="{FF2B5EF4-FFF2-40B4-BE49-F238E27FC236}">
              <a16:creationId xmlns:a16="http://schemas.microsoft.com/office/drawing/2014/main" id="{5D36038A-984A-4685-9D6F-25E9BD191FE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8" name="TextBox 1">
          <a:extLst>
            <a:ext uri="{FF2B5EF4-FFF2-40B4-BE49-F238E27FC236}">
              <a16:creationId xmlns:a16="http://schemas.microsoft.com/office/drawing/2014/main" id="{1004B9A3-C8EF-433D-9E92-C22BBCCA455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9" name="TextBox 3648">
          <a:extLst>
            <a:ext uri="{FF2B5EF4-FFF2-40B4-BE49-F238E27FC236}">
              <a16:creationId xmlns:a16="http://schemas.microsoft.com/office/drawing/2014/main" id="{5E48F9FE-3828-47D3-85CC-BC83731A396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0" name="TextBox 3649">
          <a:extLst>
            <a:ext uri="{FF2B5EF4-FFF2-40B4-BE49-F238E27FC236}">
              <a16:creationId xmlns:a16="http://schemas.microsoft.com/office/drawing/2014/main" id="{EF8638B0-8BEF-40B1-AEEC-13F719F7839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1" name="TextBox 1">
          <a:extLst>
            <a:ext uri="{FF2B5EF4-FFF2-40B4-BE49-F238E27FC236}">
              <a16:creationId xmlns:a16="http://schemas.microsoft.com/office/drawing/2014/main" id="{9554AE3B-149D-4C8C-87BA-06533DCBA0C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2" name="TextBox 1">
          <a:extLst>
            <a:ext uri="{FF2B5EF4-FFF2-40B4-BE49-F238E27FC236}">
              <a16:creationId xmlns:a16="http://schemas.microsoft.com/office/drawing/2014/main" id="{90489084-2D9D-4E09-BBB0-66EC85F2305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3" name="TextBox 3652">
          <a:extLst>
            <a:ext uri="{FF2B5EF4-FFF2-40B4-BE49-F238E27FC236}">
              <a16:creationId xmlns:a16="http://schemas.microsoft.com/office/drawing/2014/main" id="{DA7D0003-E08A-4F1D-A9B9-83011054D36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4" name="TextBox 3653">
          <a:extLst>
            <a:ext uri="{FF2B5EF4-FFF2-40B4-BE49-F238E27FC236}">
              <a16:creationId xmlns:a16="http://schemas.microsoft.com/office/drawing/2014/main" id="{04F288C7-50AF-4E26-9DBE-63DF4D94F37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5" name="TextBox 1">
          <a:extLst>
            <a:ext uri="{FF2B5EF4-FFF2-40B4-BE49-F238E27FC236}">
              <a16:creationId xmlns:a16="http://schemas.microsoft.com/office/drawing/2014/main" id="{16F1241A-47B6-494C-9493-9BE27D5407C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6" name="TextBox 1">
          <a:extLst>
            <a:ext uri="{FF2B5EF4-FFF2-40B4-BE49-F238E27FC236}">
              <a16:creationId xmlns:a16="http://schemas.microsoft.com/office/drawing/2014/main" id="{D7C99505-D68D-47F6-B67D-7EC59797EBB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7" name="TextBox 3656">
          <a:extLst>
            <a:ext uri="{FF2B5EF4-FFF2-40B4-BE49-F238E27FC236}">
              <a16:creationId xmlns:a16="http://schemas.microsoft.com/office/drawing/2014/main" id="{7A5FDD43-71C2-4BBA-80AD-14D8052F039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8" name="TextBox 3657">
          <a:extLst>
            <a:ext uri="{FF2B5EF4-FFF2-40B4-BE49-F238E27FC236}">
              <a16:creationId xmlns:a16="http://schemas.microsoft.com/office/drawing/2014/main" id="{82BD83CB-BECC-4BF8-98E2-7A0866BEDCD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9" name="TextBox 1">
          <a:extLst>
            <a:ext uri="{FF2B5EF4-FFF2-40B4-BE49-F238E27FC236}">
              <a16:creationId xmlns:a16="http://schemas.microsoft.com/office/drawing/2014/main" id="{FF45809F-2AAA-4C23-8423-F5065CF95FF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0" name="TextBox 1">
          <a:extLst>
            <a:ext uri="{FF2B5EF4-FFF2-40B4-BE49-F238E27FC236}">
              <a16:creationId xmlns:a16="http://schemas.microsoft.com/office/drawing/2014/main" id="{88C4494F-9FE1-44DB-B5F9-3A8F471CB2E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1" name="TextBox 3660">
          <a:extLst>
            <a:ext uri="{FF2B5EF4-FFF2-40B4-BE49-F238E27FC236}">
              <a16:creationId xmlns:a16="http://schemas.microsoft.com/office/drawing/2014/main" id="{86764DD7-8F95-4A35-BA80-13126524A90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2" name="TextBox 3661">
          <a:extLst>
            <a:ext uri="{FF2B5EF4-FFF2-40B4-BE49-F238E27FC236}">
              <a16:creationId xmlns:a16="http://schemas.microsoft.com/office/drawing/2014/main" id="{2609268F-94FF-4205-8C08-335ACC6BCE6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3" name="TextBox 1">
          <a:extLst>
            <a:ext uri="{FF2B5EF4-FFF2-40B4-BE49-F238E27FC236}">
              <a16:creationId xmlns:a16="http://schemas.microsoft.com/office/drawing/2014/main" id="{AB9E82AF-2724-47CB-8354-6A81CAFAED3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4" name="TextBox 1">
          <a:extLst>
            <a:ext uri="{FF2B5EF4-FFF2-40B4-BE49-F238E27FC236}">
              <a16:creationId xmlns:a16="http://schemas.microsoft.com/office/drawing/2014/main" id="{EF2AC814-C009-4643-91DB-628FDC7C036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5" name="TextBox 3664">
          <a:extLst>
            <a:ext uri="{FF2B5EF4-FFF2-40B4-BE49-F238E27FC236}">
              <a16:creationId xmlns:a16="http://schemas.microsoft.com/office/drawing/2014/main" id="{2C67B829-F477-47D2-BD7C-7977D7139AF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6" name="TextBox 3665">
          <a:extLst>
            <a:ext uri="{FF2B5EF4-FFF2-40B4-BE49-F238E27FC236}">
              <a16:creationId xmlns:a16="http://schemas.microsoft.com/office/drawing/2014/main" id="{459EFA96-7F66-4A81-9D52-DBF30F180BC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7" name="TextBox 1">
          <a:extLst>
            <a:ext uri="{FF2B5EF4-FFF2-40B4-BE49-F238E27FC236}">
              <a16:creationId xmlns:a16="http://schemas.microsoft.com/office/drawing/2014/main" id="{937EE50A-1400-4A3A-ADE3-2557C9DFC2D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8" name="TextBox 1">
          <a:extLst>
            <a:ext uri="{FF2B5EF4-FFF2-40B4-BE49-F238E27FC236}">
              <a16:creationId xmlns:a16="http://schemas.microsoft.com/office/drawing/2014/main" id="{2EBDF39A-61E4-4E96-AE27-AA85E2C6AC5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9" name="TextBox 3668">
          <a:extLst>
            <a:ext uri="{FF2B5EF4-FFF2-40B4-BE49-F238E27FC236}">
              <a16:creationId xmlns:a16="http://schemas.microsoft.com/office/drawing/2014/main" id="{A7974BE3-56EF-4466-853F-BDF6797CA1E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0" name="TextBox 3669">
          <a:extLst>
            <a:ext uri="{FF2B5EF4-FFF2-40B4-BE49-F238E27FC236}">
              <a16:creationId xmlns:a16="http://schemas.microsoft.com/office/drawing/2014/main" id="{D4F2AE54-25AF-4E55-B557-62C493FAD03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1" name="TextBox 1">
          <a:extLst>
            <a:ext uri="{FF2B5EF4-FFF2-40B4-BE49-F238E27FC236}">
              <a16:creationId xmlns:a16="http://schemas.microsoft.com/office/drawing/2014/main" id="{6DBB79AE-13C6-4114-B578-47688A2B1AB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2" name="TextBox 1">
          <a:extLst>
            <a:ext uri="{FF2B5EF4-FFF2-40B4-BE49-F238E27FC236}">
              <a16:creationId xmlns:a16="http://schemas.microsoft.com/office/drawing/2014/main" id="{49CC3BE0-F0DB-4184-BFD8-8B570CF70E1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3" name="TextBox 3672">
          <a:extLst>
            <a:ext uri="{FF2B5EF4-FFF2-40B4-BE49-F238E27FC236}">
              <a16:creationId xmlns:a16="http://schemas.microsoft.com/office/drawing/2014/main" id="{7C19FE32-B428-46A9-99C1-3C041836A57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4" name="TextBox 3673">
          <a:extLst>
            <a:ext uri="{FF2B5EF4-FFF2-40B4-BE49-F238E27FC236}">
              <a16:creationId xmlns:a16="http://schemas.microsoft.com/office/drawing/2014/main" id="{396F1B13-9B4D-4A30-8ED7-B1575007ADE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5" name="TextBox 1">
          <a:extLst>
            <a:ext uri="{FF2B5EF4-FFF2-40B4-BE49-F238E27FC236}">
              <a16:creationId xmlns:a16="http://schemas.microsoft.com/office/drawing/2014/main" id="{DCC784E3-383A-443A-A126-3669768750E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6" name="TextBox 1">
          <a:extLst>
            <a:ext uri="{FF2B5EF4-FFF2-40B4-BE49-F238E27FC236}">
              <a16:creationId xmlns:a16="http://schemas.microsoft.com/office/drawing/2014/main" id="{F33927F4-5B40-444B-991C-4A7DC6C9C22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7" name="TextBox 3676">
          <a:extLst>
            <a:ext uri="{FF2B5EF4-FFF2-40B4-BE49-F238E27FC236}">
              <a16:creationId xmlns:a16="http://schemas.microsoft.com/office/drawing/2014/main" id="{D1AEF2A8-8152-4FB0-AE57-24FF8E42527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8" name="TextBox 3677">
          <a:extLst>
            <a:ext uri="{FF2B5EF4-FFF2-40B4-BE49-F238E27FC236}">
              <a16:creationId xmlns:a16="http://schemas.microsoft.com/office/drawing/2014/main" id="{D275DD88-DAB2-489C-B234-342FED6D512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9" name="TextBox 3678">
          <a:extLst>
            <a:ext uri="{FF2B5EF4-FFF2-40B4-BE49-F238E27FC236}">
              <a16:creationId xmlns:a16="http://schemas.microsoft.com/office/drawing/2014/main" id="{050419C3-9C24-4BDC-994F-31371E4EFD2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0" name="TextBox 1">
          <a:extLst>
            <a:ext uri="{FF2B5EF4-FFF2-40B4-BE49-F238E27FC236}">
              <a16:creationId xmlns:a16="http://schemas.microsoft.com/office/drawing/2014/main" id="{F8EDC928-9212-4574-B88F-F13EC2E53F9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1" name="TextBox 1">
          <a:extLst>
            <a:ext uri="{FF2B5EF4-FFF2-40B4-BE49-F238E27FC236}">
              <a16:creationId xmlns:a16="http://schemas.microsoft.com/office/drawing/2014/main" id="{671A4343-38EB-4789-9677-A6122D0418E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2" name="TextBox 3681">
          <a:extLst>
            <a:ext uri="{FF2B5EF4-FFF2-40B4-BE49-F238E27FC236}">
              <a16:creationId xmlns:a16="http://schemas.microsoft.com/office/drawing/2014/main" id="{C3A2D00D-1A63-4358-AB22-A0E628B0E25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3" name="TextBox 3682">
          <a:extLst>
            <a:ext uri="{FF2B5EF4-FFF2-40B4-BE49-F238E27FC236}">
              <a16:creationId xmlns:a16="http://schemas.microsoft.com/office/drawing/2014/main" id="{26A8AF4B-B81D-409D-8E3D-FB8997DD91E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4" name="TextBox 1">
          <a:extLst>
            <a:ext uri="{FF2B5EF4-FFF2-40B4-BE49-F238E27FC236}">
              <a16:creationId xmlns:a16="http://schemas.microsoft.com/office/drawing/2014/main" id="{196D1A8C-B62B-4896-A90A-9FC9908142A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5" name="TextBox 1">
          <a:extLst>
            <a:ext uri="{FF2B5EF4-FFF2-40B4-BE49-F238E27FC236}">
              <a16:creationId xmlns:a16="http://schemas.microsoft.com/office/drawing/2014/main" id="{00697108-3F39-4978-B495-F59385EE0AA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6" name="TextBox 3685">
          <a:extLst>
            <a:ext uri="{FF2B5EF4-FFF2-40B4-BE49-F238E27FC236}">
              <a16:creationId xmlns:a16="http://schemas.microsoft.com/office/drawing/2014/main" id="{00A78AFD-F46A-452E-AD9F-93C98FAB559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7" name="TextBox 3686">
          <a:extLst>
            <a:ext uri="{FF2B5EF4-FFF2-40B4-BE49-F238E27FC236}">
              <a16:creationId xmlns:a16="http://schemas.microsoft.com/office/drawing/2014/main" id="{8942D167-59E6-4F79-9597-828014701C1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8" name="TextBox 1">
          <a:extLst>
            <a:ext uri="{FF2B5EF4-FFF2-40B4-BE49-F238E27FC236}">
              <a16:creationId xmlns:a16="http://schemas.microsoft.com/office/drawing/2014/main" id="{99FF0CF7-DA9C-4131-B636-6D245E6B526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9" name="TextBox 1">
          <a:extLst>
            <a:ext uri="{FF2B5EF4-FFF2-40B4-BE49-F238E27FC236}">
              <a16:creationId xmlns:a16="http://schemas.microsoft.com/office/drawing/2014/main" id="{DDC9F1B5-D291-4BE8-A538-3C57144ED1B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0" name="TextBox 3689">
          <a:extLst>
            <a:ext uri="{FF2B5EF4-FFF2-40B4-BE49-F238E27FC236}">
              <a16:creationId xmlns:a16="http://schemas.microsoft.com/office/drawing/2014/main" id="{7182E700-216D-406B-B813-FA67BA5640E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1" name="TextBox 3690">
          <a:extLst>
            <a:ext uri="{FF2B5EF4-FFF2-40B4-BE49-F238E27FC236}">
              <a16:creationId xmlns:a16="http://schemas.microsoft.com/office/drawing/2014/main" id="{FEE42857-1175-4FD9-9219-E1245890778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2" name="TextBox 1">
          <a:extLst>
            <a:ext uri="{FF2B5EF4-FFF2-40B4-BE49-F238E27FC236}">
              <a16:creationId xmlns:a16="http://schemas.microsoft.com/office/drawing/2014/main" id="{FD17A041-CF33-47E0-8A23-7D5A0B8F8D0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3" name="TextBox 1">
          <a:extLst>
            <a:ext uri="{FF2B5EF4-FFF2-40B4-BE49-F238E27FC236}">
              <a16:creationId xmlns:a16="http://schemas.microsoft.com/office/drawing/2014/main" id="{0E4E4515-6378-4B78-B268-AED41B25076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4" name="TextBox 3693">
          <a:extLst>
            <a:ext uri="{FF2B5EF4-FFF2-40B4-BE49-F238E27FC236}">
              <a16:creationId xmlns:a16="http://schemas.microsoft.com/office/drawing/2014/main" id="{CCACFC96-C899-4579-931C-3A420225E1A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5" name="TextBox 3694">
          <a:extLst>
            <a:ext uri="{FF2B5EF4-FFF2-40B4-BE49-F238E27FC236}">
              <a16:creationId xmlns:a16="http://schemas.microsoft.com/office/drawing/2014/main" id="{A05A035C-C7D2-45B7-9CE8-2FE330D6E34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6" name="TextBox 1">
          <a:extLst>
            <a:ext uri="{FF2B5EF4-FFF2-40B4-BE49-F238E27FC236}">
              <a16:creationId xmlns:a16="http://schemas.microsoft.com/office/drawing/2014/main" id="{D40D23ED-0664-4E68-9A36-18603D1B93D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7" name="TextBox 1">
          <a:extLst>
            <a:ext uri="{FF2B5EF4-FFF2-40B4-BE49-F238E27FC236}">
              <a16:creationId xmlns:a16="http://schemas.microsoft.com/office/drawing/2014/main" id="{6291190E-668F-4FD7-A7E5-C8D3B2EF55E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8" name="TextBox 3697">
          <a:extLst>
            <a:ext uri="{FF2B5EF4-FFF2-40B4-BE49-F238E27FC236}">
              <a16:creationId xmlns:a16="http://schemas.microsoft.com/office/drawing/2014/main" id="{05947D4A-6D9E-4CE4-B055-53CCF3DFC35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9" name="TextBox 3698">
          <a:extLst>
            <a:ext uri="{FF2B5EF4-FFF2-40B4-BE49-F238E27FC236}">
              <a16:creationId xmlns:a16="http://schemas.microsoft.com/office/drawing/2014/main" id="{16216EF3-E7AA-44BE-80FC-960E2E58F45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0" name="TextBox 1">
          <a:extLst>
            <a:ext uri="{FF2B5EF4-FFF2-40B4-BE49-F238E27FC236}">
              <a16:creationId xmlns:a16="http://schemas.microsoft.com/office/drawing/2014/main" id="{E816D2F9-B5AB-4594-BA77-FD32AB548D6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1" name="TextBox 1">
          <a:extLst>
            <a:ext uri="{FF2B5EF4-FFF2-40B4-BE49-F238E27FC236}">
              <a16:creationId xmlns:a16="http://schemas.microsoft.com/office/drawing/2014/main" id="{E16C7C77-2F81-4E0D-8863-8F4786D86A3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2" name="TextBox 3701">
          <a:extLst>
            <a:ext uri="{FF2B5EF4-FFF2-40B4-BE49-F238E27FC236}">
              <a16:creationId xmlns:a16="http://schemas.microsoft.com/office/drawing/2014/main" id="{9E98E08D-A96B-4F8B-AA93-EDF4293F8EC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3" name="TextBox 3702">
          <a:extLst>
            <a:ext uri="{FF2B5EF4-FFF2-40B4-BE49-F238E27FC236}">
              <a16:creationId xmlns:a16="http://schemas.microsoft.com/office/drawing/2014/main" id="{45FBACF7-8B1F-405C-8F18-F2B365BFBDD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4" name="TextBox 1">
          <a:extLst>
            <a:ext uri="{FF2B5EF4-FFF2-40B4-BE49-F238E27FC236}">
              <a16:creationId xmlns:a16="http://schemas.microsoft.com/office/drawing/2014/main" id="{05174DBC-FE11-4004-A5EA-65F7D62F22C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5" name="TextBox 1">
          <a:extLst>
            <a:ext uri="{FF2B5EF4-FFF2-40B4-BE49-F238E27FC236}">
              <a16:creationId xmlns:a16="http://schemas.microsoft.com/office/drawing/2014/main" id="{6A330493-8310-4B9E-9B5C-E1634B82CC2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6" name="TextBox 3705">
          <a:extLst>
            <a:ext uri="{FF2B5EF4-FFF2-40B4-BE49-F238E27FC236}">
              <a16:creationId xmlns:a16="http://schemas.microsoft.com/office/drawing/2014/main" id="{CF5CAB72-18EB-44D9-9E52-97B9AC46877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7" name="TextBox 3706">
          <a:extLst>
            <a:ext uri="{FF2B5EF4-FFF2-40B4-BE49-F238E27FC236}">
              <a16:creationId xmlns:a16="http://schemas.microsoft.com/office/drawing/2014/main" id="{2056A1BC-4C08-4023-B02A-93690158421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8" name="TextBox 1">
          <a:extLst>
            <a:ext uri="{FF2B5EF4-FFF2-40B4-BE49-F238E27FC236}">
              <a16:creationId xmlns:a16="http://schemas.microsoft.com/office/drawing/2014/main" id="{0544F090-64F1-47A9-8C53-881F71665C5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9" name="TextBox 1">
          <a:extLst>
            <a:ext uri="{FF2B5EF4-FFF2-40B4-BE49-F238E27FC236}">
              <a16:creationId xmlns:a16="http://schemas.microsoft.com/office/drawing/2014/main" id="{DC1B1B9D-9ED6-4E55-B44B-007D49F4093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0" name="TextBox 3709">
          <a:extLst>
            <a:ext uri="{FF2B5EF4-FFF2-40B4-BE49-F238E27FC236}">
              <a16:creationId xmlns:a16="http://schemas.microsoft.com/office/drawing/2014/main" id="{536E1152-B2EA-4DDF-B0FC-A4D87521E76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1" name="TextBox 3710">
          <a:extLst>
            <a:ext uri="{FF2B5EF4-FFF2-40B4-BE49-F238E27FC236}">
              <a16:creationId xmlns:a16="http://schemas.microsoft.com/office/drawing/2014/main" id="{0783E8DF-2F27-4BB5-BD84-95EB1659E23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2" name="TextBox 1">
          <a:extLst>
            <a:ext uri="{FF2B5EF4-FFF2-40B4-BE49-F238E27FC236}">
              <a16:creationId xmlns:a16="http://schemas.microsoft.com/office/drawing/2014/main" id="{02B8D759-A747-4D7F-A8E0-A652B398F76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3" name="TextBox 1">
          <a:extLst>
            <a:ext uri="{FF2B5EF4-FFF2-40B4-BE49-F238E27FC236}">
              <a16:creationId xmlns:a16="http://schemas.microsoft.com/office/drawing/2014/main" id="{DB90D18F-D8DF-452F-897F-9FDEEA6083A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4" name="TextBox 3713">
          <a:extLst>
            <a:ext uri="{FF2B5EF4-FFF2-40B4-BE49-F238E27FC236}">
              <a16:creationId xmlns:a16="http://schemas.microsoft.com/office/drawing/2014/main" id="{FE8B4283-5D24-43B5-88B8-FCEDEF452F4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5" name="TextBox 1">
          <a:extLst>
            <a:ext uri="{FF2B5EF4-FFF2-40B4-BE49-F238E27FC236}">
              <a16:creationId xmlns:a16="http://schemas.microsoft.com/office/drawing/2014/main" id="{E35470EE-BDFF-4D81-AC50-2A5E601DF98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6" name="TextBox 1">
          <a:extLst>
            <a:ext uri="{FF2B5EF4-FFF2-40B4-BE49-F238E27FC236}">
              <a16:creationId xmlns:a16="http://schemas.microsoft.com/office/drawing/2014/main" id="{B094F674-6844-4E6B-962D-7081F884A61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7" name="TextBox 3716">
          <a:extLst>
            <a:ext uri="{FF2B5EF4-FFF2-40B4-BE49-F238E27FC236}">
              <a16:creationId xmlns:a16="http://schemas.microsoft.com/office/drawing/2014/main" id="{9D1D4E95-B530-434C-AD16-D4C5FE64EB9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8" name="TextBox 1">
          <a:extLst>
            <a:ext uri="{FF2B5EF4-FFF2-40B4-BE49-F238E27FC236}">
              <a16:creationId xmlns:a16="http://schemas.microsoft.com/office/drawing/2014/main" id="{91B765C8-6339-46EE-A88C-029EF209E67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9" name="TextBox 3718">
          <a:extLst>
            <a:ext uri="{FF2B5EF4-FFF2-40B4-BE49-F238E27FC236}">
              <a16:creationId xmlns:a16="http://schemas.microsoft.com/office/drawing/2014/main" id="{8F1CCED9-8B29-4899-A639-0EFA458C3DF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0" name="TextBox 1">
          <a:extLst>
            <a:ext uri="{FF2B5EF4-FFF2-40B4-BE49-F238E27FC236}">
              <a16:creationId xmlns:a16="http://schemas.microsoft.com/office/drawing/2014/main" id="{187DC05C-0166-4F21-B307-419C2AEE601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1" name="TextBox 1">
          <a:extLst>
            <a:ext uri="{FF2B5EF4-FFF2-40B4-BE49-F238E27FC236}">
              <a16:creationId xmlns:a16="http://schemas.microsoft.com/office/drawing/2014/main" id="{A5578846-93A2-4168-AC60-403CD1A7089C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2" name="TextBox 3721">
          <a:extLst>
            <a:ext uri="{FF2B5EF4-FFF2-40B4-BE49-F238E27FC236}">
              <a16:creationId xmlns:a16="http://schemas.microsoft.com/office/drawing/2014/main" id="{254195B9-5CCE-4CEF-A30F-780249FDADD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3" name="TextBox 3722">
          <a:extLst>
            <a:ext uri="{FF2B5EF4-FFF2-40B4-BE49-F238E27FC236}">
              <a16:creationId xmlns:a16="http://schemas.microsoft.com/office/drawing/2014/main" id="{9793EADA-6ACA-4ECD-BF64-E5714B3BC6E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4" name="TextBox 1">
          <a:extLst>
            <a:ext uri="{FF2B5EF4-FFF2-40B4-BE49-F238E27FC236}">
              <a16:creationId xmlns:a16="http://schemas.microsoft.com/office/drawing/2014/main" id="{B37056D2-5DED-484C-BC8D-E4567632C82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5" name="TextBox 1">
          <a:extLst>
            <a:ext uri="{FF2B5EF4-FFF2-40B4-BE49-F238E27FC236}">
              <a16:creationId xmlns:a16="http://schemas.microsoft.com/office/drawing/2014/main" id="{FA41E4A9-2303-414E-8F0C-59E08B377CE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6" name="TextBox 3725">
          <a:extLst>
            <a:ext uri="{FF2B5EF4-FFF2-40B4-BE49-F238E27FC236}">
              <a16:creationId xmlns:a16="http://schemas.microsoft.com/office/drawing/2014/main" id="{8B410E1E-2DF3-49E9-AB28-69836ABD587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7" name="TextBox 3726">
          <a:extLst>
            <a:ext uri="{FF2B5EF4-FFF2-40B4-BE49-F238E27FC236}">
              <a16:creationId xmlns:a16="http://schemas.microsoft.com/office/drawing/2014/main" id="{C839237E-1E8B-4A7B-9FE1-964DEDDEE1F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8" name="TextBox 3727">
          <a:extLst>
            <a:ext uri="{FF2B5EF4-FFF2-40B4-BE49-F238E27FC236}">
              <a16:creationId xmlns:a16="http://schemas.microsoft.com/office/drawing/2014/main" id="{80CCB89A-CD8A-41C5-8077-9B7A738773E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9" name="TextBox 1">
          <a:extLst>
            <a:ext uri="{FF2B5EF4-FFF2-40B4-BE49-F238E27FC236}">
              <a16:creationId xmlns:a16="http://schemas.microsoft.com/office/drawing/2014/main" id="{8B951429-4BC3-4F2F-BF0A-F9691A1C8C8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0" name="TextBox 1">
          <a:extLst>
            <a:ext uri="{FF2B5EF4-FFF2-40B4-BE49-F238E27FC236}">
              <a16:creationId xmlns:a16="http://schemas.microsoft.com/office/drawing/2014/main" id="{F57AA163-E288-4FD5-BC2E-6123DEC97CC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1" name="TextBox 3730">
          <a:extLst>
            <a:ext uri="{FF2B5EF4-FFF2-40B4-BE49-F238E27FC236}">
              <a16:creationId xmlns:a16="http://schemas.microsoft.com/office/drawing/2014/main" id="{AD541031-72F6-4858-90E5-695F3213A61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2" name="TextBox 3731">
          <a:extLst>
            <a:ext uri="{FF2B5EF4-FFF2-40B4-BE49-F238E27FC236}">
              <a16:creationId xmlns:a16="http://schemas.microsoft.com/office/drawing/2014/main" id="{FC2C87F0-7BB3-4042-AC1D-34789555FEA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3" name="TextBox 1">
          <a:extLst>
            <a:ext uri="{FF2B5EF4-FFF2-40B4-BE49-F238E27FC236}">
              <a16:creationId xmlns:a16="http://schemas.microsoft.com/office/drawing/2014/main" id="{C78D831E-2C2B-4CD6-A65E-AFFAA62366F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4" name="TextBox 1">
          <a:extLst>
            <a:ext uri="{FF2B5EF4-FFF2-40B4-BE49-F238E27FC236}">
              <a16:creationId xmlns:a16="http://schemas.microsoft.com/office/drawing/2014/main" id="{8E9A53D1-AA88-4AC8-A6B0-2BAED525F37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5" name="TextBox 3734">
          <a:extLst>
            <a:ext uri="{FF2B5EF4-FFF2-40B4-BE49-F238E27FC236}">
              <a16:creationId xmlns:a16="http://schemas.microsoft.com/office/drawing/2014/main" id="{3FED5481-870D-4116-814B-ED216D28212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6" name="TextBox 3735">
          <a:extLst>
            <a:ext uri="{FF2B5EF4-FFF2-40B4-BE49-F238E27FC236}">
              <a16:creationId xmlns:a16="http://schemas.microsoft.com/office/drawing/2014/main" id="{844A72DB-366C-4B42-9C96-D858FE326AF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7" name="TextBox 1">
          <a:extLst>
            <a:ext uri="{FF2B5EF4-FFF2-40B4-BE49-F238E27FC236}">
              <a16:creationId xmlns:a16="http://schemas.microsoft.com/office/drawing/2014/main" id="{BD15A3F3-EFCD-44D3-B035-8FE5AD5E187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8" name="TextBox 1">
          <a:extLst>
            <a:ext uri="{FF2B5EF4-FFF2-40B4-BE49-F238E27FC236}">
              <a16:creationId xmlns:a16="http://schemas.microsoft.com/office/drawing/2014/main" id="{1F8FA34F-0A8A-4B01-BE73-5B0506B53BA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9" name="TextBox 3738">
          <a:extLst>
            <a:ext uri="{FF2B5EF4-FFF2-40B4-BE49-F238E27FC236}">
              <a16:creationId xmlns:a16="http://schemas.microsoft.com/office/drawing/2014/main" id="{207EDAFB-545E-4469-A51D-F289BD003E3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0" name="TextBox 3739">
          <a:extLst>
            <a:ext uri="{FF2B5EF4-FFF2-40B4-BE49-F238E27FC236}">
              <a16:creationId xmlns:a16="http://schemas.microsoft.com/office/drawing/2014/main" id="{A684AEFF-7776-46A2-AC0A-FE70EAE05C7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1" name="TextBox 1">
          <a:extLst>
            <a:ext uri="{FF2B5EF4-FFF2-40B4-BE49-F238E27FC236}">
              <a16:creationId xmlns:a16="http://schemas.microsoft.com/office/drawing/2014/main" id="{5DF8F031-00A0-46C5-82D2-DE9ED5A0CC6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2" name="TextBox 1">
          <a:extLst>
            <a:ext uri="{FF2B5EF4-FFF2-40B4-BE49-F238E27FC236}">
              <a16:creationId xmlns:a16="http://schemas.microsoft.com/office/drawing/2014/main" id="{93C57D49-8100-42CB-BA68-16D74BE3412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3" name="TextBox 3742">
          <a:extLst>
            <a:ext uri="{FF2B5EF4-FFF2-40B4-BE49-F238E27FC236}">
              <a16:creationId xmlns:a16="http://schemas.microsoft.com/office/drawing/2014/main" id="{84D4FB8F-E138-4A50-81B8-A54B21C94F1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4" name="TextBox 3743">
          <a:extLst>
            <a:ext uri="{FF2B5EF4-FFF2-40B4-BE49-F238E27FC236}">
              <a16:creationId xmlns:a16="http://schemas.microsoft.com/office/drawing/2014/main" id="{1AA0B4FE-E4D1-40D1-AC0A-A65EBC9791C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5" name="TextBox 1">
          <a:extLst>
            <a:ext uri="{FF2B5EF4-FFF2-40B4-BE49-F238E27FC236}">
              <a16:creationId xmlns:a16="http://schemas.microsoft.com/office/drawing/2014/main" id="{93B1243B-9B0C-46C5-8165-80C20A570A5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6" name="TextBox 1">
          <a:extLst>
            <a:ext uri="{FF2B5EF4-FFF2-40B4-BE49-F238E27FC236}">
              <a16:creationId xmlns:a16="http://schemas.microsoft.com/office/drawing/2014/main" id="{8F5F55F3-8149-414A-A268-D8DB7308AA6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7" name="TextBox 3746">
          <a:extLst>
            <a:ext uri="{FF2B5EF4-FFF2-40B4-BE49-F238E27FC236}">
              <a16:creationId xmlns:a16="http://schemas.microsoft.com/office/drawing/2014/main" id="{ED01C4E5-72A1-47E3-B575-FC85E1D1629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8" name="TextBox 3747">
          <a:extLst>
            <a:ext uri="{FF2B5EF4-FFF2-40B4-BE49-F238E27FC236}">
              <a16:creationId xmlns:a16="http://schemas.microsoft.com/office/drawing/2014/main" id="{B4DA0018-458C-4649-B216-0A2987141ED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9" name="TextBox 1">
          <a:extLst>
            <a:ext uri="{FF2B5EF4-FFF2-40B4-BE49-F238E27FC236}">
              <a16:creationId xmlns:a16="http://schemas.microsoft.com/office/drawing/2014/main" id="{440E0557-5255-4E4F-9DAA-7533DF3CE25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0" name="TextBox 1">
          <a:extLst>
            <a:ext uri="{FF2B5EF4-FFF2-40B4-BE49-F238E27FC236}">
              <a16:creationId xmlns:a16="http://schemas.microsoft.com/office/drawing/2014/main" id="{D5753037-D903-4713-AD4A-2C2FE21D6EE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1" name="TextBox 3750">
          <a:extLst>
            <a:ext uri="{FF2B5EF4-FFF2-40B4-BE49-F238E27FC236}">
              <a16:creationId xmlns:a16="http://schemas.microsoft.com/office/drawing/2014/main" id="{73400847-BD45-4178-9BE0-AF5490C57EE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2" name="TextBox 3751">
          <a:extLst>
            <a:ext uri="{FF2B5EF4-FFF2-40B4-BE49-F238E27FC236}">
              <a16:creationId xmlns:a16="http://schemas.microsoft.com/office/drawing/2014/main" id="{51B1C132-7449-4BE6-BD0D-6A9402F9815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3" name="TextBox 1">
          <a:extLst>
            <a:ext uri="{FF2B5EF4-FFF2-40B4-BE49-F238E27FC236}">
              <a16:creationId xmlns:a16="http://schemas.microsoft.com/office/drawing/2014/main" id="{26ACFD6D-D451-403D-9710-67A069F525E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4" name="TextBox 1">
          <a:extLst>
            <a:ext uri="{FF2B5EF4-FFF2-40B4-BE49-F238E27FC236}">
              <a16:creationId xmlns:a16="http://schemas.microsoft.com/office/drawing/2014/main" id="{BEC51535-C698-41B2-9C86-6B36BA49114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5" name="TextBox 3754">
          <a:extLst>
            <a:ext uri="{FF2B5EF4-FFF2-40B4-BE49-F238E27FC236}">
              <a16:creationId xmlns:a16="http://schemas.microsoft.com/office/drawing/2014/main" id="{C4C9C05D-06F7-4874-8D37-8B923F930B7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6" name="TextBox 3755">
          <a:extLst>
            <a:ext uri="{FF2B5EF4-FFF2-40B4-BE49-F238E27FC236}">
              <a16:creationId xmlns:a16="http://schemas.microsoft.com/office/drawing/2014/main" id="{5B2D44FD-7AE2-496E-9241-608CFB22B10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7" name="TextBox 1">
          <a:extLst>
            <a:ext uri="{FF2B5EF4-FFF2-40B4-BE49-F238E27FC236}">
              <a16:creationId xmlns:a16="http://schemas.microsoft.com/office/drawing/2014/main" id="{30B26E75-7C40-45FB-9688-DC772E8869D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8" name="TextBox 1">
          <a:extLst>
            <a:ext uri="{FF2B5EF4-FFF2-40B4-BE49-F238E27FC236}">
              <a16:creationId xmlns:a16="http://schemas.microsoft.com/office/drawing/2014/main" id="{E90C468E-29B7-4B24-8CDE-2DE62BDD2EF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9" name="TextBox 3758">
          <a:extLst>
            <a:ext uri="{FF2B5EF4-FFF2-40B4-BE49-F238E27FC236}">
              <a16:creationId xmlns:a16="http://schemas.microsoft.com/office/drawing/2014/main" id="{2AD1511C-C36F-47A4-A741-D60AF1B5226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0" name="TextBox 3759">
          <a:extLst>
            <a:ext uri="{FF2B5EF4-FFF2-40B4-BE49-F238E27FC236}">
              <a16:creationId xmlns:a16="http://schemas.microsoft.com/office/drawing/2014/main" id="{8893C57A-CBD5-471D-9797-16952852E26B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1" name="TextBox 1">
          <a:extLst>
            <a:ext uri="{FF2B5EF4-FFF2-40B4-BE49-F238E27FC236}">
              <a16:creationId xmlns:a16="http://schemas.microsoft.com/office/drawing/2014/main" id="{21BD6C2A-1F3E-4803-841E-E4DA18D123D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2" name="TextBox 1">
          <a:extLst>
            <a:ext uri="{FF2B5EF4-FFF2-40B4-BE49-F238E27FC236}">
              <a16:creationId xmlns:a16="http://schemas.microsoft.com/office/drawing/2014/main" id="{93768627-A3AB-4F95-8AE3-D509067731E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3" name="TextBox 3762">
          <a:extLst>
            <a:ext uri="{FF2B5EF4-FFF2-40B4-BE49-F238E27FC236}">
              <a16:creationId xmlns:a16="http://schemas.microsoft.com/office/drawing/2014/main" id="{9C025650-01E9-4AC8-9ADD-3BE26EB0BBE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4" name="TextBox 3763">
          <a:extLst>
            <a:ext uri="{FF2B5EF4-FFF2-40B4-BE49-F238E27FC236}">
              <a16:creationId xmlns:a16="http://schemas.microsoft.com/office/drawing/2014/main" id="{49EDA174-6A6F-4FBE-9E48-D2243C5FB18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5" name="TextBox 3764">
          <a:extLst>
            <a:ext uri="{FF2B5EF4-FFF2-40B4-BE49-F238E27FC236}">
              <a16:creationId xmlns:a16="http://schemas.microsoft.com/office/drawing/2014/main" id="{8EEAC1E7-EED7-4353-A829-218144E68DDE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6" name="TextBox 1">
          <a:extLst>
            <a:ext uri="{FF2B5EF4-FFF2-40B4-BE49-F238E27FC236}">
              <a16:creationId xmlns:a16="http://schemas.microsoft.com/office/drawing/2014/main" id="{AAF397E2-3ABF-44FB-9DFB-FFFFAD96FAB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7" name="TextBox 1">
          <a:extLst>
            <a:ext uri="{FF2B5EF4-FFF2-40B4-BE49-F238E27FC236}">
              <a16:creationId xmlns:a16="http://schemas.microsoft.com/office/drawing/2014/main" id="{9DD75E47-B949-4954-8F4D-5B23A618765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8" name="TextBox 3767">
          <a:extLst>
            <a:ext uri="{FF2B5EF4-FFF2-40B4-BE49-F238E27FC236}">
              <a16:creationId xmlns:a16="http://schemas.microsoft.com/office/drawing/2014/main" id="{FFB1422C-1D11-4D48-8981-79D592323A38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9" name="TextBox 3768">
          <a:extLst>
            <a:ext uri="{FF2B5EF4-FFF2-40B4-BE49-F238E27FC236}">
              <a16:creationId xmlns:a16="http://schemas.microsoft.com/office/drawing/2014/main" id="{D40C1627-7E93-4DA0-AE11-6CD5F7C547B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0" name="TextBox 1">
          <a:extLst>
            <a:ext uri="{FF2B5EF4-FFF2-40B4-BE49-F238E27FC236}">
              <a16:creationId xmlns:a16="http://schemas.microsoft.com/office/drawing/2014/main" id="{1D5CE22C-2028-4A48-A5AE-F768C8AC32C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1" name="TextBox 1">
          <a:extLst>
            <a:ext uri="{FF2B5EF4-FFF2-40B4-BE49-F238E27FC236}">
              <a16:creationId xmlns:a16="http://schemas.microsoft.com/office/drawing/2014/main" id="{4D67EC0F-B043-421A-82FE-A60D9FBA4D1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2" name="TextBox 3771">
          <a:extLst>
            <a:ext uri="{FF2B5EF4-FFF2-40B4-BE49-F238E27FC236}">
              <a16:creationId xmlns:a16="http://schemas.microsoft.com/office/drawing/2014/main" id="{EB3142F3-A80A-440D-B8F7-52464F24F25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3" name="TextBox 3772">
          <a:extLst>
            <a:ext uri="{FF2B5EF4-FFF2-40B4-BE49-F238E27FC236}">
              <a16:creationId xmlns:a16="http://schemas.microsoft.com/office/drawing/2014/main" id="{9557C892-71E4-4AE1-959F-76F8282D8F23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4" name="TextBox 1">
          <a:extLst>
            <a:ext uri="{FF2B5EF4-FFF2-40B4-BE49-F238E27FC236}">
              <a16:creationId xmlns:a16="http://schemas.microsoft.com/office/drawing/2014/main" id="{F4F7D1D5-81CE-4F14-8B31-D5542C5CF2E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5" name="TextBox 1">
          <a:extLst>
            <a:ext uri="{FF2B5EF4-FFF2-40B4-BE49-F238E27FC236}">
              <a16:creationId xmlns:a16="http://schemas.microsoft.com/office/drawing/2014/main" id="{C995E144-B5F2-41A4-A360-42DA4D6794ED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6" name="TextBox 3775">
          <a:extLst>
            <a:ext uri="{FF2B5EF4-FFF2-40B4-BE49-F238E27FC236}">
              <a16:creationId xmlns:a16="http://schemas.microsoft.com/office/drawing/2014/main" id="{E6F47170-81FA-45AF-BA65-8105888041B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7" name="TextBox 3776">
          <a:extLst>
            <a:ext uri="{FF2B5EF4-FFF2-40B4-BE49-F238E27FC236}">
              <a16:creationId xmlns:a16="http://schemas.microsoft.com/office/drawing/2014/main" id="{12539980-0F25-47DB-8B4D-6AA74904B98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8" name="TextBox 1">
          <a:extLst>
            <a:ext uri="{FF2B5EF4-FFF2-40B4-BE49-F238E27FC236}">
              <a16:creationId xmlns:a16="http://schemas.microsoft.com/office/drawing/2014/main" id="{DA23D747-ABC8-49D3-9125-BEBD1C7C35A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9" name="TextBox 1">
          <a:extLst>
            <a:ext uri="{FF2B5EF4-FFF2-40B4-BE49-F238E27FC236}">
              <a16:creationId xmlns:a16="http://schemas.microsoft.com/office/drawing/2014/main" id="{69578D0C-A852-431A-BB87-2AE9AB1394B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0" name="TextBox 3779">
          <a:extLst>
            <a:ext uri="{FF2B5EF4-FFF2-40B4-BE49-F238E27FC236}">
              <a16:creationId xmlns:a16="http://schemas.microsoft.com/office/drawing/2014/main" id="{F1A9EC68-80FE-4922-AE53-3AE0234D0DA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1" name="TextBox 3780">
          <a:extLst>
            <a:ext uri="{FF2B5EF4-FFF2-40B4-BE49-F238E27FC236}">
              <a16:creationId xmlns:a16="http://schemas.microsoft.com/office/drawing/2014/main" id="{AC16802E-9EB2-48C4-B8C6-F18BEC6FF54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2" name="TextBox 1">
          <a:extLst>
            <a:ext uri="{FF2B5EF4-FFF2-40B4-BE49-F238E27FC236}">
              <a16:creationId xmlns:a16="http://schemas.microsoft.com/office/drawing/2014/main" id="{FBFCEC7C-9B9B-4DAE-B483-72BBC9C5F89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3" name="TextBox 1">
          <a:extLst>
            <a:ext uri="{FF2B5EF4-FFF2-40B4-BE49-F238E27FC236}">
              <a16:creationId xmlns:a16="http://schemas.microsoft.com/office/drawing/2014/main" id="{E08B797B-78EF-424D-A3F5-27E300B7A28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4" name="TextBox 3783">
          <a:extLst>
            <a:ext uri="{FF2B5EF4-FFF2-40B4-BE49-F238E27FC236}">
              <a16:creationId xmlns:a16="http://schemas.microsoft.com/office/drawing/2014/main" id="{DB433052-E6E7-4306-906C-7B96D746222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5" name="TextBox 3784">
          <a:extLst>
            <a:ext uri="{FF2B5EF4-FFF2-40B4-BE49-F238E27FC236}">
              <a16:creationId xmlns:a16="http://schemas.microsoft.com/office/drawing/2014/main" id="{835841B4-EDE8-4413-A065-88A83B91B10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6" name="TextBox 1">
          <a:extLst>
            <a:ext uri="{FF2B5EF4-FFF2-40B4-BE49-F238E27FC236}">
              <a16:creationId xmlns:a16="http://schemas.microsoft.com/office/drawing/2014/main" id="{79BA55FE-9354-43F0-9951-3A8C427B3E77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7" name="TextBox 1">
          <a:extLst>
            <a:ext uri="{FF2B5EF4-FFF2-40B4-BE49-F238E27FC236}">
              <a16:creationId xmlns:a16="http://schemas.microsoft.com/office/drawing/2014/main" id="{435F3DB2-1E07-4933-85EC-F8EA38D62754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8" name="TextBox 3787">
          <a:extLst>
            <a:ext uri="{FF2B5EF4-FFF2-40B4-BE49-F238E27FC236}">
              <a16:creationId xmlns:a16="http://schemas.microsoft.com/office/drawing/2014/main" id="{DB2B751D-A2ED-442A-B304-AE8BFDBFD83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9" name="TextBox 3788">
          <a:extLst>
            <a:ext uri="{FF2B5EF4-FFF2-40B4-BE49-F238E27FC236}">
              <a16:creationId xmlns:a16="http://schemas.microsoft.com/office/drawing/2014/main" id="{E0D3634C-2048-4759-B93A-EE9E3CA2E2F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0" name="TextBox 1">
          <a:extLst>
            <a:ext uri="{FF2B5EF4-FFF2-40B4-BE49-F238E27FC236}">
              <a16:creationId xmlns:a16="http://schemas.microsoft.com/office/drawing/2014/main" id="{7B2C789F-C546-4EFE-A952-926A284616CA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1" name="TextBox 1">
          <a:extLst>
            <a:ext uri="{FF2B5EF4-FFF2-40B4-BE49-F238E27FC236}">
              <a16:creationId xmlns:a16="http://schemas.microsoft.com/office/drawing/2014/main" id="{A5E40A66-1C57-4A64-8052-A993839CBD72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2" name="TextBox 3791">
          <a:extLst>
            <a:ext uri="{FF2B5EF4-FFF2-40B4-BE49-F238E27FC236}">
              <a16:creationId xmlns:a16="http://schemas.microsoft.com/office/drawing/2014/main" id="{DC56B8CF-79B8-4C94-A60B-1EBD4DBEBFA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3" name="TextBox 3792">
          <a:extLst>
            <a:ext uri="{FF2B5EF4-FFF2-40B4-BE49-F238E27FC236}">
              <a16:creationId xmlns:a16="http://schemas.microsoft.com/office/drawing/2014/main" id="{AF537FDB-6D41-4C43-A48C-ADAEF522DEF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4" name="TextBox 1">
          <a:extLst>
            <a:ext uri="{FF2B5EF4-FFF2-40B4-BE49-F238E27FC236}">
              <a16:creationId xmlns:a16="http://schemas.microsoft.com/office/drawing/2014/main" id="{320DFC43-445E-4D10-A0C4-B776D8A12661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5" name="TextBox 1">
          <a:extLst>
            <a:ext uri="{FF2B5EF4-FFF2-40B4-BE49-F238E27FC236}">
              <a16:creationId xmlns:a16="http://schemas.microsoft.com/office/drawing/2014/main" id="{7CAE35E8-CFBB-44F7-B0B2-47630AE4BBE5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6" name="TextBox 3795">
          <a:extLst>
            <a:ext uri="{FF2B5EF4-FFF2-40B4-BE49-F238E27FC236}">
              <a16:creationId xmlns:a16="http://schemas.microsoft.com/office/drawing/2014/main" id="{2EF0CD8A-891A-409C-8E8D-2075151AF82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7" name="TextBox 3796">
          <a:extLst>
            <a:ext uri="{FF2B5EF4-FFF2-40B4-BE49-F238E27FC236}">
              <a16:creationId xmlns:a16="http://schemas.microsoft.com/office/drawing/2014/main" id="{B6FAEDBB-19FF-46E1-9F38-7DBC2F081596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8" name="TextBox 1">
          <a:extLst>
            <a:ext uri="{FF2B5EF4-FFF2-40B4-BE49-F238E27FC236}">
              <a16:creationId xmlns:a16="http://schemas.microsoft.com/office/drawing/2014/main" id="{9047977F-87FE-407C-A61C-14AA9D082DDF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9" name="TextBox 1">
          <a:extLst>
            <a:ext uri="{FF2B5EF4-FFF2-40B4-BE49-F238E27FC236}">
              <a16:creationId xmlns:a16="http://schemas.microsoft.com/office/drawing/2014/main" id="{BC184F57-C953-4C3C-8A44-A0A41598A6A9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800" name="TextBox 3799">
          <a:extLst>
            <a:ext uri="{FF2B5EF4-FFF2-40B4-BE49-F238E27FC236}">
              <a16:creationId xmlns:a16="http://schemas.microsoft.com/office/drawing/2014/main" id="{3816BD2E-9704-4FE4-997A-E13B3F2F3930}"/>
            </a:ext>
          </a:extLst>
        </xdr:cNvPr>
        <xdr:cNvSpPr txBox="1"/>
      </xdr:nvSpPr>
      <xdr:spPr>
        <a:xfrm>
          <a:off x="11336383" y="55016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42C88E-7039-4014-8672-3C07D4C120C7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A7FF6DE5-4835-4E4F-8B3A-E672D66BB82B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3BB6B0C8-91FC-412D-8895-409EA9AB6C4B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F864E2C-9F86-4865-92BA-7EF97A07E58D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25F9976-09AD-4A93-B9F7-3E550C6E53C2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F228091E-385C-4678-86A9-5E75E98440E2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B002EAC4-0F73-4E9A-82D0-ACF771230D8A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8846DF-B09C-4BF6-A4BD-A7FD9F9FE9D6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5869B5-9301-4B8A-A9CB-999F924B0805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88B1B49-0757-479C-B22E-83E8A3F23A1D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" name="TextBox 1">
          <a:extLst>
            <a:ext uri="{FF2B5EF4-FFF2-40B4-BE49-F238E27FC236}">
              <a16:creationId xmlns:a16="http://schemas.microsoft.com/office/drawing/2014/main" id="{10018A90-D5CD-41C2-AEB5-0C949249E70F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3" name="TextBox 1">
          <a:extLst>
            <a:ext uri="{FF2B5EF4-FFF2-40B4-BE49-F238E27FC236}">
              <a16:creationId xmlns:a16="http://schemas.microsoft.com/office/drawing/2014/main" id="{BD851DC6-9AEE-4C6D-9FE2-F871F34C91ED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D2D83A9-0861-4EED-A6D1-9EECDB5AD690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B6B8C7A-87C3-44B1-923C-7E2611100CD5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6" name="TextBox 1">
          <a:extLst>
            <a:ext uri="{FF2B5EF4-FFF2-40B4-BE49-F238E27FC236}">
              <a16:creationId xmlns:a16="http://schemas.microsoft.com/office/drawing/2014/main" id="{238C3963-8849-4DB9-A6A9-B6B021069F3D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7" name="TextBox 1">
          <a:extLst>
            <a:ext uri="{FF2B5EF4-FFF2-40B4-BE49-F238E27FC236}">
              <a16:creationId xmlns:a16="http://schemas.microsoft.com/office/drawing/2014/main" id="{61C227D8-7AF8-436E-8B64-51DC0777B498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C136FC1-8CFE-4C82-9700-DD1C8EF51855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260CCC8-ADA1-41C8-8151-BBFDFDBCE5F2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0" name="TextBox 1">
          <a:extLst>
            <a:ext uri="{FF2B5EF4-FFF2-40B4-BE49-F238E27FC236}">
              <a16:creationId xmlns:a16="http://schemas.microsoft.com/office/drawing/2014/main" id="{7715C92F-BF31-4AEB-A26A-F77974C0A94F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1" name="TextBox 1">
          <a:extLst>
            <a:ext uri="{FF2B5EF4-FFF2-40B4-BE49-F238E27FC236}">
              <a16:creationId xmlns:a16="http://schemas.microsoft.com/office/drawing/2014/main" id="{B9B27EC6-FB30-4350-9923-E87675CEA8A1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11C0A8A-1DE1-4851-83B6-5A7A3108190C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399C55F-AFE9-4117-89CD-C108D796460A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4" name="TextBox 1">
          <a:extLst>
            <a:ext uri="{FF2B5EF4-FFF2-40B4-BE49-F238E27FC236}">
              <a16:creationId xmlns:a16="http://schemas.microsoft.com/office/drawing/2014/main" id="{ED5A1C15-B864-450B-8016-A84EF646E0B2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5" name="TextBox 1">
          <a:extLst>
            <a:ext uri="{FF2B5EF4-FFF2-40B4-BE49-F238E27FC236}">
              <a16:creationId xmlns:a16="http://schemas.microsoft.com/office/drawing/2014/main" id="{F6151F77-9CEE-48AA-AC1D-E7070A751285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FDCB3AB-DE6F-4272-9783-E3F739BB0636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A977354-699C-48D2-8573-478BC2B7BD96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8" name="TextBox 1">
          <a:extLst>
            <a:ext uri="{FF2B5EF4-FFF2-40B4-BE49-F238E27FC236}">
              <a16:creationId xmlns:a16="http://schemas.microsoft.com/office/drawing/2014/main" id="{3ACE1159-1E76-4125-B04D-18A5C78438E6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29" name="TextBox 1">
          <a:extLst>
            <a:ext uri="{FF2B5EF4-FFF2-40B4-BE49-F238E27FC236}">
              <a16:creationId xmlns:a16="http://schemas.microsoft.com/office/drawing/2014/main" id="{49BF1357-C8B3-44DA-823A-935A2E717CEF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F8746F0-FE55-4DBD-8F14-9D0DBCA5BBDE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81DA959-2D7F-47AB-91DA-723647C2290F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2" name="TextBox 1">
          <a:extLst>
            <a:ext uri="{FF2B5EF4-FFF2-40B4-BE49-F238E27FC236}">
              <a16:creationId xmlns:a16="http://schemas.microsoft.com/office/drawing/2014/main" id="{853AD056-1783-4128-BBA4-1F07C78FB58F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3" name="TextBox 1">
          <a:extLst>
            <a:ext uri="{FF2B5EF4-FFF2-40B4-BE49-F238E27FC236}">
              <a16:creationId xmlns:a16="http://schemas.microsoft.com/office/drawing/2014/main" id="{2D6613DC-0AEC-49EB-B1CD-9D7ADCCCB111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6B86F2F-7453-44FA-8087-5DC0BBC05D0F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6CF627F-4135-4E16-BAA5-DA4B076E1770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6" name="TextBox 1">
          <a:extLst>
            <a:ext uri="{FF2B5EF4-FFF2-40B4-BE49-F238E27FC236}">
              <a16:creationId xmlns:a16="http://schemas.microsoft.com/office/drawing/2014/main" id="{A0FADCFA-C1E3-4091-B885-C383F361C8AA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7" name="TextBox 1">
          <a:extLst>
            <a:ext uri="{FF2B5EF4-FFF2-40B4-BE49-F238E27FC236}">
              <a16:creationId xmlns:a16="http://schemas.microsoft.com/office/drawing/2014/main" id="{1350E640-7A1F-421B-A31F-2887C69F40E8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BCBD4C8-85D9-4D7B-BD11-BFD8E3BF0551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45D4DBE-6713-4404-8E39-B65571965253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0" name="TextBox 1">
          <a:extLst>
            <a:ext uri="{FF2B5EF4-FFF2-40B4-BE49-F238E27FC236}">
              <a16:creationId xmlns:a16="http://schemas.microsoft.com/office/drawing/2014/main" id="{0898475E-C5DD-435D-9C58-5F60D00FDC30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1" name="TextBox 1">
          <a:extLst>
            <a:ext uri="{FF2B5EF4-FFF2-40B4-BE49-F238E27FC236}">
              <a16:creationId xmlns:a16="http://schemas.microsoft.com/office/drawing/2014/main" id="{9934C32A-ED59-428E-A69C-B89D78C9180A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4B3DF8A-A17B-403B-A560-EBD9CB04F0ED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8E0A5B9-9882-4B52-B1C9-D873C846EA24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4" name="TextBox 1">
          <a:extLst>
            <a:ext uri="{FF2B5EF4-FFF2-40B4-BE49-F238E27FC236}">
              <a16:creationId xmlns:a16="http://schemas.microsoft.com/office/drawing/2014/main" id="{589967A1-61B3-4B48-8465-92AAAE36C7F6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5" name="TextBox 1">
          <a:extLst>
            <a:ext uri="{FF2B5EF4-FFF2-40B4-BE49-F238E27FC236}">
              <a16:creationId xmlns:a16="http://schemas.microsoft.com/office/drawing/2014/main" id="{F42346F4-CCD0-466C-99EA-B55BB2BC9ADC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EE52FF69-266D-44EE-8804-DB4E7F7AF05F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7" name="TextBox 1">
          <a:extLst>
            <a:ext uri="{FF2B5EF4-FFF2-40B4-BE49-F238E27FC236}">
              <a16:creationId xmlns:a16="http://schemas.microsoft.com/office/drawing/2014/main" id="{05E774FC-7AD6-4C79-9EB1-3CC2AF69CBA9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8" name="TextBox 1">
          <a:extLst>
            <a:ext uri="{FF2B5EF4-FFF2-40B4-BE49-F238E27FC236}">
              <a16:creationId xmlns:a16="http://schemas.microsoft.com/office/drawing/2014/main" id="{D45A267D-BC7D-4673-931E-B2856B09056F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E3D7380-6FF6-4009-AA24-F4A8B51469BB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0" name="TextBox 1">
          <a:extLst>
            <a:ext uri="{FF2B5EF4-FFF2-40B4-BE49-F238E27FC236}">
              <a16:creationId xmlns:a16="http://schemas.microsoft.com/office/drawing/2014/main" id="{CDC10C87-45DF-4824-8087-BF6F1EBAB588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48FA98C-AC47-4714-9415-5BD467832236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2" name="TextBox 1">
          <a:extLst>
            <a:ext uri="{FF2B5EF4-FFF2-40B4-BE49-F238E27FC236}">
              <a16:creationId xmlns:a16="http://schemas.microsoft.com/office/drawing/2014/main" id="{2C6106A7-BD77-44FE-9CFE-43365E8867ED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3" name="TextBox 1">
          <a:extLst>
            <a:ext uri="{FF2B5EF4-FFF2-40B4-BE49-F238E27FC236}">
              <a16:creationId xmlns:a16="http://schemas.microsoft.com/office/drawing/2014/main" id="{C48B920F-ACDB-4111-A9D4-DA83582A6B79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2DC7E6CE-5C82-4AC7-AB15-AF5212B81492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D9DE89E9-55F6-4A5A-AFDA-1AC1834524C5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6" name="TextBox 1">
          <a:extLst>
            <a:ext uri="{FF2B5EF4-FFF2-40B4-BE49-F238E27FC236}">
              <a16:creationId xmlns:a16="http://schemas.microsoft.com/office/drawing/2014/main" id="{06DBD884-2835-4C16-BB20-E6D7FBB4277F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7" name="TextBox 1">
          <a:extLst>
            <a:ext uri="{FF2B5EF4-FFF2-40B4-BE49-F238E27FC236}">
              <a16:creationId xmlns:a16="http://schemas.microsoft.com/office/drawing/2014/main" id="{9E19E9AC-E6C3-4211-BDF4-28DF1B11C3D1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D9DD418-9854-459E-938D-4E2FD9B89BD3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74391ED-0AE5-4256-97D7-E2075621473D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E7D52A4-2937-46F9-B99F-01008D773296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1" name="TextBox 1">
          <a:extLst>
            <a:ext uri="{FF2B5EF4-FFF2-40B4-BE49-F238E27FC236}">
              <a16:creationId xmlns:a16="http://schemas.microsoft.com/office/drawing/2014/main" id="{5E964D94-531F-4602-98F3-2A05DCC47AE7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2" name="TextBox 1">
          <a:extLst>
            <a:ext uri="{FF2B5EF4-FFF2-40B4-BE49-F238E27FC236}">
              <a16:creationId xmlns:a16="http://schemas.microsoft.com/office/drawing/2014/main" id="{1F8419CC-A27E-4C74-AACE-581296A4B2E6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017B919-7668-4A3A-9525-7EC3B318A250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3B70A251-7748-46F6-89F8-552BABBD67DC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5" name="TextBox 1">
          <a:extLst>
            <a:ext uri="{FF2B5EF4-FFF2-40B4-BE49-F238E27FC236}">
              <a16:creationId xmlns:a16="http://schemas.microsoft.com/office/drawing/2014/main" id="{F5DB34A7-68FA-4796-8E81-924D4F502143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6" name="TextBox 1">
          <a:extLst>
            <a:ext uri="{FF2B5EF4-FFF2-40B4-BE49-F238E27FC236}">
              <a16:creationId xmlns:a16="http://schemas.microsoft.com/office/drawing/2014/main" id="{55C1E7D9-CC75-4D56-A894-53282DE29E0E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568E235-E0D7-46BD-91E1-945107D44BFB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1C935F14-3E94-4F97-9B6D-2C12D2D04A6C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69" name="TextBox 1">
          <a:extLst>
            <a:ext uri="{FF2B5EF4-FFF2-40B4-BE49-F238E27FC236}">
              <a16:creationId xmlns:a16="http://schemas.microsoft.com/office/drawing/2014/main" id="{985D4F17-D61E-4165-B38E-6976D4ADD277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0" name="TextBox 1">
          <a:extLst>
            <a:ext uri="{FF2B5EF4-FFF2-40B4-BE49-F238E27FC236}">
              <a16:creationId xmlns:a16="http://schemas.microsoft.com/office/drawing/2014/main" id="{47E250E1-1CD0-43F4-ADDE-BA8469217CA5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C9373E6E-0493-44CC-ADD3-2E23F961AD75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F1A695B-12B6-4676-B522-9B9D292F5442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3" name="TextBox 1">
          <a:extLst>
            <a:ext uri="{FF2B5EF4-FFF2-40B4-BE49-F238E27FC236}">
              <a16:creationId xmlns:a16="http://schemas.microsoft.com/office/drawing/2014/main" id="{646D5A26-C64D-4BD5-B5B5-383EE3555CF6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4" name="TextBox 1">
          <a:extLst>
            <a:ext uri="{FF2B5EF4-FFF2-40B4-BE49-F238E27FC236}">
              <a16:creationId xmlns:a16="http://schemas.microsoft.com/office/drawing/2014/main" id="{89F83264-1352-4598-9AF3-C72F7BFE4C6D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58DD4474-7DB0-491A-BD8A-36F42A591817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9697330-E055-4D3E-BA6D-380E46003601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7" name="TextBox 1">
          <a:extLst>
            <a:ext uri="{FF2B5EF4-FFF2-40B4-BE49-F238E27FC236}">
              <a16:creationId xmlns:a16="http://schemas.microsoft.com/office/drawing/2014/main" id="{85F312E3-61E5-41EE-B419-B1466C5721FF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8" name="TextBox 1">
          <a:extLst>
            <a:ext uri="{FF2B5EF4-FFF2-40B4-BE49-F238E27FC236}">
              <a16:creationId xmlns:a16="http://schemas.microsoft.com/office/drawing/2014/main" id="{677CDBA2-E523-4DC3-B404-933A157BD8E7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3627004-7DA9-4A1A-865A-1551EC76AB2E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5698A83-778D-4285-AADF-7F90AC39452B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1" name="TextBox 1">
          <a:extLst>
            <a:ext uri="{FF2B5EF4-FFF2-40B4-BE49-F238E27FC236}">
              <a16:creationId xmlns:a16="http://schemas.microsoft.com/office/drawing/2014/main" id="{A6B0357D-2CFF-4C32-B4EE-DF28D370767F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2" name="TextBox 1">
          <a:extLst>
            <a:ext uri="{FF2B5EF4-FFF2-40B4-BE49-F238E27FC236}">
              <a16:creationId xmlns:a16="http://schemas.microsoft.com/office/drawing/2014/main" id="{C2E1F230-E0F1-4D84-9E23-778DA9C4F4DA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F4D84F29-1B6C-4FCA-A78C-14650A5F7E8E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4C13C883-0E5B-4305-9C8A-764583285BEC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5" name="TextBox 1">
          <a:extLst>
            <a:ext uri="{FF2B5EF4-FFF2-40B4-BE49-F238E27FC236}">
              <a16:creationId xmlns:a16="http://schemas.microsoft.com/office/drawing/2014/main" id="{7572297B-3733-4813-8E85-DBAF733156C4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6" name="TextBox 1">
          <a:extLst>
            <a:ext uri="{FF2B5EF4-FFF2-40B4-BE49-F238E27FC236}">
              <a16:creationId xmlns:a16="http://schemas.microsoft.com/office/drawing/2014/main" id="{85A474DE-E8CC-4F08-A9A2-365348292E46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4AEDD445-C18F-4708-B46E-0D3B98269E70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4BC9E04-ABF2-48B8-AED6-4EF4EBC59863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89" name="TextBox 1">
          <a:extLst>
            <a:ext uri="{FF2B5EF4-FFF2-40B4-BE49-F238E27FC236}">
              <a16:creationId xmlns:a16="http://schemas.microsoft.com/office/drawing/2014/main" id="{B5AB25F8-C0B5-40E5-B5F7-6F5F75984AD8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0" name="TextBox 1">
          <a:extLst>
            <a:ext uri="{FF2B5EF4-FFF2-40B4-BE49-F238E27FC236}">
              <a16:creationId xmlns:a16="http://schemas.microsoft.com/office/drawing/2014/main" id="{0C877A9E-F85F-4EBA-B5E0-62E24B671072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8FAF70F3-C1DE-4A7C-B873-184583D480A2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6F55922-E51C-47F5-B5B5-31FB5CFA221B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3" name="TextBox 1">
          <a:extLst>
            <a:ext uri="{FF2B5EF4-FFF2-40B4-BE49-F238E27FC236}">
              <a16:creationId xmlns:a16="http://schemas.microsoft.com/office/drawing/2014/main" id="{61F78748-6839-4306-93EB-ADE12F259E2D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4" name="TextBox 1">
          <a:extLst>
            <a:ext uri="{FF2B5EF4-FFF2-40B4-BE49-F238E27FC236}">
              <a16:creationId xmlns:a16="http://schemas.microsoft.com/office/drawing/2014/main" id="{1922BA8A-71D2-467C-9B0B-3FE581F6BE9C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1580F9-72E1-4898-A899-CA60400C6BA7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DF4F1B97-2FF1-48A5-8B25-D7E44985A538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149E35C7-74F4-4622-A7B3-498F5752447D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8" name="TextBox 1">
          <a:extLst>
            <a:ext uri="{FF2B5EF4-FFF2-40B4-BE49-F238E27FC236}">
              <a16:creationId xmlns:a16="http://schemas.microsoft.com/office/drawing/2014/main" id="{00F77F14-EB6F-4A9F-84BD-337B0C9DD485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99" name="TextBox 1">
          <a:extLst>
            <a:ext uri="{FF2B5EF4-FFF2-40B4-BE49-F238E27FC236}">
              <a16:creationId xmlns:a16="http://schemas.microsoft.com/office/drawing/2014/main" id="{53CA3659-41FA-463F-86FE-481DF706DC8B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A8767FB-E481-49E2-BAF2-AE55FA4DA018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499A4426-6AB5-4433-887C-D007BC4A0164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2" name="TextBox 1">
          <a:extLst>
            <a:ext uri="{FF2B5EF4-FFF2-40B4-BE49-F238E27FC236}">
              <a16:creationId xmlns:a16="http://schemas.microsoft.com/office/drawing/2014/main" id="{02D5E9E3-980B-4ABA-AD3A-5C5F45B99EF1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3" name="TextBox 1">
          <a:extLst>
            <a:ext uri="{FF2B5EF4-FFF2-40B4-BE49-F238E27FC236}">
              <a16:creationId xmlns:a16="http://schemas.microsoft.com/office/drawing/2014/main" id="{A681A1AA-532E-47FF-BC42-D2786B4C3FA3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1DAF8FA7-6D5F-4F1C-874C-B5A30034B9EF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8A042172-DA0E-434C-B058-F7685E18A91D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6" name="TextBox 1">
          <a:extLst>
            <a:ext uri="{FF2B5EF4-FFF2-40B4-BE49-F238E27FC236}">
              <a16:creationId xmlns:a16="http://schemas.microsoft.com/office/drawing/2014/main" id="{6B8F1DFA-1621-44AB-9090-81E66CF40566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7" name="TextBox 1">
          <a:extLst>
            <a:ext uri="{FF2B5EF4-FFF2-40B4-BE49-F238E27FC236}">
              <a16:creationId xmlns:a16="http://schemas.microsoft.com/office/drawing/2014/main" id="{4D26E09C-89FD-4171-A9BD-F1CD4ED74210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35106B4C-62DC-41E8-B2C1-1908E0E1A5F8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17351678-E1D1-41F2-A35D-D63717A68D27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0" name="TextBox 1">
          <a:extLst>
            <a:ext uri="{FF2B5EF4-FFF2-40B4-BE49-F238E27FC236}">
              <a16:creationId xmlns:a16="http://schemas.microsoft.com/office/drawing/2014/main" id="{97C7B3A4-93AD-4287-85E5-0F7F1B734E05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1" name="TextBox 1">
          <a:extLst>
            <a:ext uri="{FF2B5EF4-FFF2-40B4-BE49-F238E27FC236}">
              <a16:creationId xmlns:a16="http://schemas.microsoft.com/office/drawing/2014/main" id="{306EE6C8-F91A-4B51-8D5C-88183B6AEB67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9911BF06-D408-4B29-B23C-BE763925C62F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6A9E1F16-A7FB-435B-913D-9E33CB2E23B7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4" name="TextBox 1">
          <a:extLst>
            <a:ext uri="{FF2B5EF4-FFF2-40B4-BE49-F238E27FC236}">
              <a16:creationId xmlns:a16="http://schemas.microsoft.com/office/drawing/2014/main" id="{B989632A-BF46-4A08-AF67-DF1CFB75AF5E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5" name="TextBox 1">
          <a:extLst>
            <a:ext uri="{FF2B5EF4-FFF2-40B4-BE49-F238E27FC236}">
              <a16:creationId xmlns:a16="http://schemas.microsoft.com/office/drawing/2014/main" id="{43C7D46C-233C-4A80-8E12-E014DB62527E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F8B9B1B-48F9-417D-8A1A-013B6DE209E0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B01B78DF-F6BB-4DC5-A1F1-194751E3869A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8" name="TextBox 1">
          <a:extLst>
            <a:ext uri="{FF2B5EF4-FFF2-40B4-BE49-F238E27FC236}">
              <a16:creationId xmlns:a16="http://schemas.microsoft.com/office/drawing/2014/main" id="{A37BD2A9-3686-4F60-981F-D73D2B0CFE84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19" name="TextBox 1">
          <a:extLst>
            <a:ext uri="{FF2B5EF4-FFF2-40B4-BE49-F238E27FC236}">
              <a16:creationId xmlns:a16="http://schemas.microsoft.com/office/drawing/2014/main" id="{47FD2AB7-0FDB-4382-8513-FF8830E1BF48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63338B32-D2ED-4891-9F9B-17F333FAC19C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C0634D7A-9558-4920-82AC-426A75E232E1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2" name="TextBox 1">
          <a:extLst>
            <a:ext uri="{FF2B5EF4-FFF2-40B4-BE49-F238E27FC236}">
              <a16:creationId xmlns:a16="http://schemas.microsoft.com/office/drawing/2014/main" id="{67A50EA8-EEAE-4A54-BD0E-733FD020EA85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3" name="TextBox 1">
          <a:extLst>
            <a:ext uri="{FF2B5EF4-FFF2-40B4-BE49-F238E27FC236}">
              <a16:creationId xmlns:a16="http://schemas.microsoft.com/office/drawing/2014/main" id="{41B3D614-68CB-48F2-B4C7-C86F381C43EC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930225D-E6EE-47D7-B2DB-31C6F33E8BDD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1FAB2A73-91BD-4EF1-996D-F91DF104D92B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6" name="TextBox 1">
          <a:extLst>
            <a:ext uri="{FF2B5EF4-FFF2-40B4-BE49-F238E27FC236}">
              <a16:creationId xmlns:a16="http://schemas.microsoft.com/office/drawing/2014/main" id="{565DB682-89D1-41AB-92F4-CCBC12994EEC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7" name="TextBox 1">
          <a:extLst>
            <a:ext uri="{FF2B5EF4-FFF2-40B4-BE49-F238E27FC236}">
              <a16:creationId xmlns:a16="http://schemas.microsoft.com/office/drawing/2014/main" id="{8A212747-C38C-423A-A764-5EC6F4E76799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61469FAF-5760-4D72-8BF3-790E61A56CEB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5B45B6AA-390A-4C96-BC25-49F2A9B50777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30" name="TextBox 1">
          <a:extLst>
            <a:ext uri="{FF2B5EF4-FFF2-40B4-BE49-F238E27FC236}">
              <a16:creationId xmlns:a16="http://schemas.microsoft.com/office/drawing/2014/main" id="{85C4BD70-8E9B-41DE-9561-80CB46AF69AA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31" name="TextBox 1">
          <a:extLst>
            <a:ext uri="{FF2B5EF4-FFF2-40B4-BE49-F238E27FC236}">
              <a16:creationId xmlns:a16="http://schemas.microsoft.com/office/drawing/2014/main" id="{E5C742F2-EEA7-4254-BDF1-E0ACD8DE7DD9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16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491AAB88-4834-4C56-BE42-BDF85CE790C3}"/>
            </a:ext>
          </a:extLst>
        </xdr:cNvPr>
        <xdr:cNvSpPr txBox="1"/>
      </xdr:nvSpPr>
      <xdr:spPr>
        <a:xfrm>
          <a:off x="9080863" y="207568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DDFA5F35-6DD6-46FD-876F-F52D469174E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" name="TextBox 1">
          <a:extLst>
            <a:ext uri="{FF2B5EF4-FFF2-40B4-BE49-F238E27FC236}">
              <a16:creationId xmlns:a16="http://schemas.microsoft.com/office/drawing/2014/main" id="{8EF129AA-0AF3-4D46-B6DB-B4329E512A2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" name="TextBox 1">
          <a:extLst>
            <a:ext uri="{FF2B5EF4-FFF2-40B4-BE49-F238E27FC236}">
              <a16:creationId xmlns:a16="http://schemas.microsoft.com/office/drawing/2014/main" id="{31A2E211-E371-4514-9F30-B9971ED4E95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99CBCCCC-58FF-4D72-AA61-4BFDB3B814E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E6D7A74B-59FB-47E6-B82B-A637190176D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" name="TextBox 1">
          <a:extLst>
            <a:ext uri="{FF2B5EF4-FFF2-40B4-BE49-F238E27FC236}">
              <a16:creationId xmlns:a16="http://schemas.microsoft.com/office/drawing/2014/main" id="{96DEAF13-CC0C-42D0-AF2B-3DB4BB068E1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" name="TextBox 1">
          <a:extLst>
            <a:ext uri="{FF2B5EF4-FFF2-40B4-BE49-F238E27FC236}">
              <a16:creationId xmlns:a16="http://schemas.microsoft.com/office/drawing/2014/main" id="{82D461F2-980A-4545-9672-4FA58417BAF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78A83C9-4E49-49E6-90D1-595CD689731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21DAD97C-C29D-48DD-967A-CBB8396D734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FCE4F91C-6B95-42D0-BA42-94CC1BEB28D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" name="TextBox 1">
          <a:extLst>
            <a:ext uri="{FF2B5EF4-FFF2-40B4-BE49-F238E27FC236}">
              <a16:creationId xmlns:a16="http://schemas.microsoft.com/office/drawing/2014/main" id="{8B95491B-AD10-4404-8939-106AEF764F6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" name="TextBox 1">
          <a:extLst>
            <a:ext uri="{FF2B5EF4-FFF2-40B4-BE49-F238E27FC236}">
              <a16:creationId xmlns:a16="http://schemas.microsoft.com/office/drawing/2014/main" id="{DE57D689-BB33-4793-8DCB-1DF8FA21EF2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772FC9FC-059A-47F9-AB3F-770A73B5648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352A0C5D-FA17-445D-80FA-5DE9E922578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" name="TextBox 1">
          <a:extLst>
            <a:ext uri="{FF2B5EF4-FFF2-40B4-BE49-F238E27FC236}">
              <a16:creationId xmlns:a16="http://schemas.microsoft.com/office/drawing/2014/main" id="{B95D7A54-31F3-43ED-BBF8-E403B4A876B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" name="TextBox 1">
          <a:extLst>
            <a:ext uri="{FF2B5EF4-FFF2-40B4-BE49-F238E27FC236}">
              <a16:creationId xmlns:a16="http://schemas.microsoft.com/office/drawing/2014/main" id="{D423920D-E7C2-4334-BE37-54C4EF2B9C0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975578CE-D3CF-4E0B-B429-568F6224845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24B7339E-8B99-4801-A73E-5E7A5CE102F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" name="TextBox 1">
          <a:extLst>
            <a:ext uri="{FF2B5EF4-FFF2-40B4-BE49-F238E27FC236}">
              <a16:creationId xmlns:a16="http://schemas.microsoft.com/office/drawing/2014/main" id="{9CC83D9A-8624-413E-AFB2-07DFACF3E91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" name="TextBox 1">
          <a:extLst>
            <a:ext uri="{FF2B5EF4-FFF2-40B4-BE49-F238E27FC236}">
              <a16:creationId xmlns:a16="http://schemas.microsoft.com/office/drawing/2014/main" id="{3A92A904-F4EB-4F4F-BDD7-F4049650420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5FA8F0A4-428C-444D-B0C8-7DC6B0DC0D7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E5B70650-3A8C-4CC3-8C17-53F2E996503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" name="TextBox 1">
          <a:extLst>
            <a:ext uri="{FF2B5EF4-FFF2-40B4-BE49-F238E27FC236}">
              <a16:creationId xmlns:a16="http://schemas.microsoft.com/office/drawing/2014/main" id="{F75FAE1A-6B53-4D81-BEFB-422A5403FA2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" name="TextBox 1">
          <a:extLst>
            <a:ext uri="{FF2B5EF4-FFF2-40B4-BE49-F238E27FC236}">
              <a16:creationId xmlns:a16="http://schemas.microsoft.com/office/drawing/2014/main" id="{830214F4-1571-4923-8B5D-0C9CE23239B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5BA31D6-EAE2-4120-A0F6-1D8885BAE85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A92E94CF-28EF-4C16-AAB1-C79BD3B45ED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" name="TextBox 1">
          <a:extLst>
            <a:ext uri="{FF2B5EF4-FFF2-40B4-BE49-F238E27FC236}">
              <a16:creationId xmlns:a16="http://schemas.microsoft.com/office/drawing/2014/main" id="{DAC8A9A6-BB99-4CF8-9D3F-685E7F9EA0B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" name="TextBox 1">
          <a:extLst>
            <a:ext uri="{FF2B5EF4-FFF2-40B4-BE49-F238E27FC236}">
              <a16:creationId xmlns:a16="http://schemas.microsoft.com/office/drawing/2014/main" id="{B24DD39F-AAE8-45FF-AE48-B13D61817B3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25B0BF94-745F-479A-B87A-7351AE834EC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F333A558-ED90-4580-99C7-5D9A592FCA0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" name="TextBox 1">
          <a:extLst>
            <a:ext uri="{FF2B5EF4-FFF2-40B4-BE49-F238E27FC236}">
              <a16:creationId xmlns:a16="http://schemas.microsoft.com/office/drawing/2014/main" id="{91508B48-D333-4720-8BC8-BB10772BD8C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" name="TextBox 1">
          <a:extLst>
            <a:ext uri="{FF2B5EF4-FFF2-40B4-BE49-F238E27FC236}">
              <a16:creationId xmlns:a16="http://schemas.microsoft.com/office/drawing/2014/main" id="{D715B379-12B9-4FCF-B9A0-EE7570C2786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C01F8BB6-192E-4237-AA0F-F2103F930E4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EE44ACBD-EBEE-43DB-9F7F-4E9C72EC066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" name="TextBox 1">
          <a:extLst>
            <a:ext uri="{FF2B5EF4-FFF2-40B4-BE49-F238E27FC236}">
              <a16:creationId xmlns:a16="http://schemas.microsoft.com/office/drawing/2014/main" id="{B852BE08-BF82-4562-8606-7DC8A66F6C8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" name="TextBox 1">
          <a:extLst>
            <a:ext uri="{FF2B5EF4-FFF2-40B4-BE49-F238E27FC236}">
              <a16:creationId xmlns:a16="http://schemas.microsoft.com/office/drawing/2014/main" id="{9CFB9BC6-0B9A-494B-AD3E-A6CCF1B98EE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457733BF-9BCD-4836-B884-B816910E790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20DF6D98-6BB4-4B51-ACBF-D8D58DF34F2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" name="TextBox 1">
          <a:extLst>
            <a:ext uri="{FF2B5EF4-FFF2-40B4-BE49-F238E27FC236}">
              <a16:creationId xmlns:a16="http://schemas.microsoft.com/office/drawing/2014/main" id="{E2953598-3BB6-4CC7-8C5F-408BA407529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" name="TextBox 1">
          <a:extLst>
            <a:ext uri="{FF2B5EF4-FFF2-40B4-BE49-F238E27FC236}">
              <a16:creationId xmlns:a16="http://schemas.microsoft.com/office/drawing/2014/main" id="{9C475088-09EE-4EF9-91B2-6535A21F083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9586ED06-1168-4FFF-8F31-54438BC8C73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211DE3BE-4BFC-40E0-AD69-66270AA98EB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" name="TextBox 1">
          <a:extLst>
            <a:ext uri="{FF2B5EF4-FFF2-40B4-BE49-F238E27FC236}">
              <a16:creationId xmlns:a16="http://schemas.microsoft.com/office/drawing/2014/main" id="{540E4CE8-7DB0-4738-A2F7-DBFFA1D2F3D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" name="TextBox 1">
          <a:extLst>
            <a:ext uri="{FF2B5EF4-FFF2-40B4-BE49-F238E27FC236}">
              <a16:creationId xmlns:a16="http://schemas.microsoft.com/office/drawing/2014/main" id="{A32765A1-C7C4-4E02-89A8-555C7743199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D6AF3E69-9046-4185-A9FE-085B56179D9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" name="TextBox 1">
          <a:extLst>
            <a:ext uri="{FF2B5EF4-FFF2-40B4-BE49-F238E27FC236}">
              <a16:creationId xmlns:a16="http://schemas.microsoft.com/office/drawing/2014/main" id="{CF06F3B6-198B-43B8-8861-813E6C7CDE3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" name="TextBox 1">
          <a:extLst>
            <a:ext uri="{FF2B5EF4-FFF2-40B4-BE49-F238E27FC236}">
              <a16:creationId xmlns:a16="http://schemas.microsoft.com/office/drawing/2014/main" id="{1D8DB42E-F2AB-4118-A818-7298390EA55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D869485D-B5F2-4822-BB52-08067067515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" name="TextBox 1">
          <a:extLst>
            <a:ext uri="{FF2B5EF4-FFF2-40B4-BE49-F238E27FC236}">
              <a16:creationId xmlns:a16="http://schemas.microsoft.com/office/drawing/2014/main" id="{3D38B7B8-94E8-43C0-895A-A0DA56CCF29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2A474435-E04D-446C-8DA2-9707DEE954D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" name="TextBox 1">
          <a:extLst>
            <a:ext uri="{FF2B5EF4-FFF2-40B4-BE49-F238E27FC236}">
              <a16:creationId xmlns:a16="http://schemas.microsoft.com/office/drawing/2014/main" id="{47F3653D-CA43-4FD7-89C6-7FED0BFAB3B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" name="TextBox 1">
          <a:extLst>
            <a:ext uri="{FF2B5EF4-FFF2-40B4-BE49-F238E27FC236}">
              <a16:creationId xmlns:a16="http://schemas.microsoft.com/office/drawing/2014/main" id="{5D6997D9-6FFF-4422-8C0B-75DFC9200A1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E2AA1E69-E411-4371-BF4B-B13BCAFE4DA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28901E6F-CF56-4485-9E3A-6E04A1C62D6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" name="TextBox 1">
          <a:extLst>
            <a:ext uri="{FF2B5EF4-FFF2-40B4-BE49-F238E27FC236}">
              <a16:creationId xmlns:a16="http://schemas.microsoft.com/office/drawing/2014/main" id="{CFD0472F-450C-4FD3-A15C-FD706B1C71D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" name="TextBox 1">
          <a:extLst>
            <a:ext uri="{FF2B5EF4-FFF2-40B4-BE49-F238E27FC236}">
              <a16:creationId xmlns:a16="http://schemas.microsoft.com/office/drawing/2014/main" id="{98985F3C-17AA-4C65-96EE-4AB4E5BD101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9075E138-464A-4DFE-A577-A40FA7CF3FA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46426F4F-1C3C-4811-9356-7748DEE11F9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C493963F-5020-4B6A-BEC0-14A1DFA1563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" name="TextBox 1">
          <a:extLst>
            <a:ext uri="{FF2B5EF4-FFF2-40B4-BE49-F238E27FC236}">
              <a16:creationId xmlns:a16="http://schemas.microsoft.com/office/drawing/2014/main" id="{DED6DDBE-DEA4-4A6D-9296-EAC5C7E4EAC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" name="TextBox 1">
          <a:extLst>
            <a:ext uri="{FF2B5EF4-FFF2-40B4-BE49-F238E27FC236}">
              <a16:creationId xmlns:a16="http://schemas.microsoft.com/office/drawing/2014/main" id="{D00E5627-1B64-4F5D-A3B3-B51A9975095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E4B12484-35AA-46D6-AD3A-599D942A357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82270078-7B9E-49A8-B2F2-64705C728B0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6" name="TextBox 1">
          <a:extLst>
            <a:ext uri="{FF2B5EF4-FFF2-40B4-BE49-F238E27FC236}">
              <a16:creationId xmlns:a16="http://schemas.microsoft.com/office/drawing/2014/main" id="{58C768EE-74AD-4EBF-A17E-F0BF5E38944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7" name="TextBox 1">
          <a:extLst>
            <a:ext uri="{FF2B5EF4-FFF2-40B4-BE49-F238E27FC236}">
              <a16:creationId xmlns:a16="http://schemas.microsoft.com/office/drawing/2014/main" id="{CF14291C-95C4-4701-96D5-E62DE7F1659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19C3712D-A031-47FB-9927-B7A91BA7CD6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D04AAFE7-CAB3-494F-83C2-1E85BD69ACC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0" name="TextBox 1">
          <a:extLst>
            <a:ext uri="{FF2B5EF4-FFF2-40B4-BE49-F238E27FC236}">
              <a16:creationId xmlns:a16="http://schemas.microsoft.com/office/drawing/2014/main" id="{AE893220-C6E1-43A5-B969-8C30AE12C72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1" name="TextBox 1">
          <a:extLst>
            <a:ext uri="{FF2B5EF4-FFF2-40B4-BE49-F238E27FC236}">
              <a16:creationId xmlns:a16="http://schemas.microsoft.com/office/drawing/2014/main" id="{057A9723-0099-4DF1-B978-3F47023ADA3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30AE499F-1716-494D-AC4C-0B29A28845B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E415FDD0-672B-436F-BF00-88E01972CFA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4" name="TextBox 1">
          <a:extLst>
            <a:ext uri="{FF2B5EF4-FFF2-40B4-BE49-F238E27FC236}">
              <a16:creationId xmlns:a16="http://schemas.microsoft.com/office/drawing/2014/main" id="{309AA7F1-6A96-455D-A743-BEB53DFE484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5" name="TextBox 1">
          <a:extLst>
            <a:ext uri="{FF2B5EF4-FFF2-40B4-BE49-F238E27FC236}">
              <a16:creationId xmlns:a16="http://schemas.microsoft.com/office/drawing/2014/main" id="{AF02D2E2-A308-4349-8BCE-17C89ABD07B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B4BB1113-893D-4142-80DA-4E41568B857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54C7607D-4079-441D-A31E-B7B3FEE1BC5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8" name="TextBox 1">
          <a:extLst>
            <a:ext uri="{FF2B5EF4-FFF2-40B4-BE49-F238E27FC236}">
              <a16:creationId xmlns:a16="http://schemas.microsoft.com/office/drawing/2014/main" id="{812634E1-CF5D-45CF-935E-B04BD797092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09" name="TextBox 1">
          <a:extLst>
            <a:ext uri="{FF2B5EF4-FFF2-40B4-BE49-F238E27FC236}">
              <a16:creationId xmlns:a16="http://schemas.microsoft.com/office/drawing/2014/main" id="{751545CF-BAEE-46E5-9C2D-2983F0D3860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BDFE9C54-2255-42FF-ACE9-DD4E88B6CB3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79EB9C0C-23BE-4B51-8149-6C94D18981C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2" name="TextBox 1">
          <a:extLst>
            <a:ext uri="{FF2B5EF4-FFF2-40B4-BE49-F238E27FC236}">
              <a16:creationId xmlns:a16="http://schemas.microsoft.com/office/drawing/2014/main" id="{0A83B41A-6C95-46B1-BEA4-6F23211813F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3" name="TextBox 1">
          <a:extLst>
            <a:ext uri="{FF2B5EF4-FFF2-40B4-BE49-F238E27FC236}">
              <a16:creationId xmlns:a16="http://schemas.microsoft.com/office/drawing/2014/main" id="{DDEA0D11-535D-45C5-9919-EA22D90595E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D4EB225E-2B2A-416D-A17F-426AD590B76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D0C2CCBF-1CF0-4693-83D5-09B07531892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6" name="TextBox 1">
          <a:extLst>
            <a:ext uri="{FF2B5EF4-FFF2-40B4-BE49-F238E27FC236}">
              <a16:creationId xmlns:a16="http://schemas.microsoft.com/office/drawing/2014/main" id="{1D7B33DB-00E2-435C-A101-05329C210B3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7" name="TextBox 1">
          <a:extLst>
            <a:ext uri="{FF2B5EF4-FFF2-40B4-BE49-F238E27FC236}">
              <a16:creationId xmlns:a16="http://schemas.microsoft.com/office/drawing/2014/main" id="{CCE39D64-51C4-43A7-8965-B321745ACE3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A4A5984B-0C4B-4954-B501-9F317F38A06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D3FB17CF-CBBE-4747-9282-F64BBC8588C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0" name="TextBox 1">
          <a:extLst>
            <a:ext uri="{FF2B5EF4-FFF2-40B4-BE49-F238E27FC236}">
              <a16:creationId xmlns:a16="http://schemas.microsoft.com/office/drawing/2014/main" id="{653F579C-4C94-40B8-A468-F57CA0238C6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1" name="TextBox 1">
          <a:extLst>
            <a:ext uri="{FF2B5EF4-FFF2-40B4-BE49-F238E27FC236}">
              <a16:creationId xmlns:a16="http://schemas.microsoft.com/office/drawing/2014/main" id="{1ECC61E4-ED87-45B8-B5FD-BC62C817C82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E9C8B402-F937-4943-960C-1E67BAA5DFE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863F1DBC-03F0-4755-9A31-45557B41997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4" name="TextBox 1">
          <a:extLst>
            <a:ext uri="{FF2B5EF4-FFF2-40B4-BE49-F238E27FC236}">
              <a16:creationId xmlns:a16="http://schemas.microsoft.com/office/drawing/2014/main" id="{568C4A8F-5340-4AFF-AF23-FFE280B7A11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5" name="TextBox 1">
          <a:extLst>
            <a:ext uri="{FF2B5EF4-FFF2-40B4-BE49-F238E27FC236}">
              <a16:creationId xmlns:a16="http://schemas.microsoft.com/office/drawing/2014/main" id="{4619B9DA-8D8A-4BFE-8B58-BA8C4FB8CB6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B2788879-6D8A-4BDD-B8CF-86B073C27A3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DDBC45A2-FB19-4C9B-BBD4-BA588F1DCA2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C9121C74-115B-4C70-95F9-7ACE601F30F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29" name="TextBox 1">
          <a:extLst>
            <a:ext uri="{FF2B5EF4-FFF2-40B4-BE49-F238E27FC236}">
              <a16:creationId xmlns:a16="http://schemas.microsoft.com/office/drawing/2014/main" id="{88C58A92-BB02-450D-B9DB-F0C58998E91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0" name="TextBox 1">
          <a:extLst>
            <a:ext uri="{FF2B5EF4-FFF2-40B4-BE49-F238E27FC236}">
              <a16:creationId xmlns:a16="http://schemas.microsoft.com/office/drawing/2014/main" id="{5B35F9C8-A7FC-4A6E-AA85-2B125B2F0BD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5A8D7E24-6907-4D41-A1B3-75D4D02C455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4B38237-8502-4DC6-B45F-5DE718D9E6E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3" name="TextBox 1">
          <a:extLst>
            <a:ext uri="{FF2B5EF4-FFF2-40B4-BE49-F238E27FC236}">
              <a16:creationId xmlns:a16="http://schemas.microsoft.com/office/drawing/2014/main" id="{BDB30C1B-BA74-463B-ABA8-AB13E2A79F1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4" name="TextBox 1">
          <a:extLst>
            <a:ext uri="{FF2B5EF4-FFF2-40B4-BE49-F238E27FC236}">
              <a16:creationId xmlns:a16="http://schemas.microsoft.com/office/drawing/2014/main" id="{BC3E016A-F3A9-4A1A-9A77-6CFFA213827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684B2658-B90D-4CFE-BBC3-FBE3DE6B433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42D9EEB9-7FDB-4EB3-9A42-8C429BF80A1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7" name="TextBox 1">
          <a:extLst>
            <a:ext uri="{FF2B5EF4-FFF2-40B4-BE49-F238E27FC236}">
              <a16:creationId xmlns:a16="http://schemas.microsoft.com/office/drawing/2014/main" id="{4E36A5B1-41F5-4FED-8370-F12310BD2CE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8" name="TextBox 1">
          <a:extLst>
            <a:ext uri="{FF2B5EF4-FFF2-40B4-BE49-F238E27FC236}">
              <a16:creationId xmlns:a16="http://schemas.microsoft.com/office/drawing/2014/main" id="{68EA7B12-2536-4216-B708-9A30932B2CF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73E70BE-64D5-4D99-AE1A-03D28123ED5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E59F55D2-B613-451D-B18B-8248918418B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1" name="TextBox 1">
          <a:extLst>
            <a:ext uri="{FF2B5EF4-FFF2-40B4-BE49-F238E27FC236}">
              <a16:creationId xmlns:a16="http://schemas.microsoft.com/office/drawing/2014/main" id="{C2B6FB80-CDF8-4306-A435-C473505E027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2" name="TextBox 1">
          <a:extLst>
            <a:ext uri="{FF2B5EF4-FFF2-40B4-BE49-F238E27FC236}">
              <a16:creationId xmlns:a16="http://schemas.microsoft.com/office/drawing/2014/main" id="{BF04CDDA-17B9-4AFA-ADD8-B9F839EC3F9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9381371D-1347-424E-A7FF-46FA3629E47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D29F7AF8-B205-4BEC-A08B-0398BC8CC7B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5" name="TextBox 1">
          <a:extLst>
            <a:ext uri="{FF2B5EF4-FFF2-40B4-BE49-F238E27FC236}">
              <a16:creationId xmlns:a16="http://schemas.microsoft.com/office/drawing/2014/main" id="{6D74A268-7DFB-408B-95CB-A134B3EDA24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6" name="TextBox 1">
          <a:extLst>
            <a:ext uri="{FF2B5EF4-FFF2-40B4-BE49-F238E27FC236}">
              <a16:creationId xmlns:a16="http://schemas.microsoft.com/office/drawing/2014/main" id="{FDDA2AF1-9788-4F5D-9C36-8C5E2388260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339C507B-AA3A-4CE6-ADEB-65CBEBAACE6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8089B6E9-0F53-45F3-9B20-5EAF37BFCDD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49" name="TextBox 1">
          <a:extLst>
            <a:ext uri="{FF2B5EF4-FFF2-40B4-BE49-F238E27FC236}">
              <a16:creationId xmlns:a16="http://schemas.microsoft.com/office/drawing/2014/main" id="{566EF6BB-E124-4CF0-BF1E-F141EB7EE42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0" name="TextBox 1">
          <a:extLst>
            <a:ext uri="{FF2B5EF4-FFF2-40B4-BE49-F238E27FC236}">
              <a16:creationId xmlns:a16="http://schemas.microsoft.com/office/drawing/2014/main" id="{DDDC5AC6-E076-4FBF-8DCB-1C4EE28C7D5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D98FDA13-6523-444A-BAA5-33E1CD5243F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C9A6999B-7FC6-4868-95C5-ED452B2AE8E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3" name="TextBox 1">
          <a:extLst>
            <a:ext uri="{FF2B5EF4-FFF2-40B4-BE49-F238E27FC236}">
              <a16:creationId xmlns:a16="http://schemas.microsoft.com/office/drawing/2014/main" id="{6FDC845D-97A5-4236-9D08-4A5693387D3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4" name="TextBox 1">
          <a:extLst>
            <a:ext uri="{FF2B5EF4-FFF2-40B4-BE49-F238E27FC236}">
              <a16:creationId xmlns:a16="http://schemas.microsoft.com/office/drawing/2014/main" id="{A6844DC5-8A64-44F1-A0B0-0E6E25BFFEE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A3E5AB06-0493-4025-B859-D92B9117BFA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73A28AAA-6487-45CA-B1CC-B9F27838A6F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7" name="TextBox 1">
          <a:extLst>
            <a:ext uri="{FF2B5EF4-FFF2-40B4-BE49-F238E27FC236}">
              <a16:creationId xmlns:a16="http://schemas.microsoft.com/office/drawing/2014/main" id="{3C3F564A-6652-48B7-BB20-03A5F3CBDA7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8" name="TextBox 1">
          <a:extLst>
            <a:ext uri="{FF2B5EF4-FFF2-40B4-BE49-F238E27FC236}">
              <a16:creationId xmlns:a16="http://schemas.microsoft.com/office/drawing/2014/main" id="{5B21DC38-E69C-46A7-9543-15701964522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8DC2F938-6058-4988-92DA-581BD650144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1F15A8FA-B28D-41E6-B556-DD80F642873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1" name="TextBox 1">
          <a:extLst>
            <a:ext uri="{FF2B5EF4-FFF2-40B4-BE49-F238E27FC236}">
              <a16:creationId xmlns:a16="http://schemas.microsoft.com/office/drawing/2014/main" id="{634FDCF6-78C4-4C46-AD01-E17DA96A627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2" name="TextBox 1">
          <a:extLst>
            <a:ext uri="{FF2B5EF4-FFF2-40B4-BE49-F238E27FC236}">
              <a16:creationId xmlns:a16="http://schemas.microsoft.com/office/drawing/2014/main" id="{EE4EB117-0F9E-45FA-9960-7A98DD7CB1D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C229E1C0-4015-45D5-8D51-43BA2072115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D40E7B07-7458-4C3A-A759-C82D0AEE6EA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5" name="TextBox 1">
          <a:extLst>
            <a:ext uri="{FF2B5EF4-FFF2-40B4-BE49-F238E27FC236}">
              <a16:creationId xmlns:a16="http://schemas.microsoft.com/office/drawing/2014/main" id="{67EB6511-FA80-4CEA-A5D3-F2BE1D0642F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6" name="TextBox 1">
          <a:extLst>
            <a:ext uri="{FF2B5EF4-FFF2-40B4-BE49-F238E27FC236}">
              <a16:creationId xmlns:a16="http://schemas.microsoft.com/office/drawing/2014/main" id="{9E24D01D-B341-4CE5-A06C-BB6149CF4C1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35858B20-B3E9-4CEE-B236-C6B4F6C52F6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697617B0-44F7-4775-B0AA-6FD6807AB71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69" name="TextBox 1">
          <a:extLst>
            <a:ext uri="{FF2B5EF4-FFF2-40B4-BE49-F238E27FC236}">
              <a16:creationId xmlns:a16="http://schemas.microsoft.com/office/drawing/2014/main" id="{06C9B15A-295F-4A8A-9B99-1F8BD341E29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0" name="TextBox 1">
          <a:extLst>
            <a:ext uri="{FF2B5EF4-FFF2-40B4-BE49-F238E27FC236}">
              <a16:creationId xmlns:a16="http://schemas.microsoft.com/office/drawing/2014/main" id="{19EFC002-2652-4B8A-A002-58A5C5C5886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AB09F658-573E-4784-BBA5-032EFA01ED9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2D7C4C2C-368A-4495-84D8-F9DF30536FB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E4ADED9A-2F91-4FB5-BD28-B172943CD6C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4" name="TextBox 1">
          <a:extLst>
            <a:ext uri="{FF2B5EF4-FFF2-40B4-BE49-F238E27FC236}">
              <a16:creationId xmlns:a16="http://schemas.microsoft.com/office/drawing/2014/main" id="{B57D5842-DF9D-4A28-BF31-5709D91AE44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5" name="TextBox 1">
          <a:extLst>
            <a:ext uri="{FF2B5EF4-FFF2-40B4-BE49-F238E27FC236}">
              <a16:creationId xmlns:a16="http://schemas.microsoft.com/office/drawing/2014/main" id="{98E445FD-D5A5-4B6F-9A32-6CEA4377C52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233BCA45-7B9A-4A77-B9CE-9E50501C481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CFFC9F2E-7994-44C6-BD78-514543C270F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8" name="TextBox 1">
          <a:extLst>
            <a:ext uri="{FF2B5EF4-FFF2-40B4-BE49-F238E27FC236}">
              <a16:creationId xmlns:a16="http://schemas.microsoft.com/office/drawing/2014/main" id="{6F4F6AB3-FD9B-4D3A-BDDF-D6FC8CB6FA6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79" name="TextBox 1">
          <a:extLst>
            <a:ext uri="{FF2B5EF4-FFF2-40B4-BE49-F238E27FC236}">
              <a16:creationId xmlns:a16="http://schemas.microsoft.com/office/drawing/2014/main" id="{4039AB41-0353-40BD-9C61-60FC0786DA7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4E52AA3C-0565-4F0D-B13B-7CFE0415C3E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4A0A548E-FB2A-41EF-9EF1-5CDF67DB3DD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2" name="TextBox 1">
          <a:extLst>
            <a:ext uri="{FF2B5EF4-FFF2-40B4-BE49-F238E27FC236}">
              <a16:creationId xmlns:a16="http://schemas.microsoft.com/office/drawing/2014/main" id="{1479CEFC-AD51-4651-8291-79D9D42665E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3" name="TextBox 1">
          <a:extLst>
            <a:ext uri="{FF2B5EF4-FFF2-40B4-BE49-F238E27FC236}">
              <a16:creationId xmlns:a16="http://schemas.microsoft.com/office/drawing/2014/main" id="{19CDD9A9-2F98-43E2-8BB6-0E72B03E891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D1223F50-D111-4846-AE1C-EF8B37DA0BB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808079A8-0F4D-4C2D-A3EF-D5106AC99E3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6" name="TextBox 1">
          <a:extLst>
            <a:ext uri="{FF2B5EF4-FFF2-40B4-BE49-F238E27FC236}">
              <a16:creationId xmlns:a16="http://schemas.microsoft.com/office/drawing/2014/main" id="{939E8846-8CA2-4D8F-8A0B-03A272D07B2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7" name="TextBox 1">
          <a:extLst>
            <a:ext uri="{FF2B5EF4-FFF2-40B4-BE49-F238E27FC236}">
              <a16:creationId xmlns:a16="http://schemas.microsoft.com/office/drawing/2014/main" id="{706C8E9B-307B-43B9-8922-664C7B3089A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82764559-FFFB-4869-8703-2B0FE3ECAAC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3951D722-28FF-4594-ADB6-CDD8C6F30EB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0" name="TextBox 1">
          <a:extLst>
            <a:ext uri="{FF2B5EF4-FFF2-40B4-BE49-F238E27FC236}">
              <a16:creationId xmlns:a16="http://schemas.microsoft.com/office/drawing/2014/main" id="{D4FA2148-D129-4592-A8FC-8B1F3D466DD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1" name="TextBox 1">
          <a:extLst>
            <a:ext uri="{FF2B5EF4-FFF2-40B4-BE49-F238E27FC236}">
              <a16:creationId xmlns:a16="http://schemas.microsoft.com/office/drawing/2014/main" id="{A27FF61C-4145-4FA9-B37F-94D2A7AC088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2C4323F3-EADA-4363-8F79-BEB0433C43E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FF47752C-E308-4568-A9E6-5A949038615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4" name="TextBox 1">
          <a:extLst>
            <a:ext uri="{FF2B5EF4-FFF2-40B4-BE49-F238E27FC236}">
              <a16:creationId xmlns:a16="http://schemas.microsoft.com/office/drawing/2014/main" id="{AF5DFDF3-DFA4-4D82-B6ED-544E4652F87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5" name="TextBox 1">
          <a:extLst>
            <a:ext uri="{FF2B5EF4-FFF2-40B4-BE49-F238E27FC236}">
              <a16:creationId xmlns:a16="http://schemas.microsoft.com/office/drawing/2014/main" id="{22BD9AA3-A6F5-49E2-9120-38B851188C7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91BC476-5DDF-4EA0-B63A-6FA701F759C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3EB676E-B04D-4F37-8403-ADB513DED74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8" name="TextBox 1">
          <a:extLst>
            <a:ext uri="{FF2B5EF4-FFF2-40B4-BE49-F238E27FC236}">
              <a16:creationId xmlns:a16="http://schemas.microsoft.com/office/drawing/2014/main" id="{128058DD-F568-4EAE-B81B-051F1ED9500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299" name="TextBox 1">
          <a:extLst>
            <a:ext uri="{FF2B5EF4-FFF2-40B4-BE49-F238E27FC236}">
              <a16:creationId xmlns:a16="http://schemas.microsoft.com/office/drawing/2014/main" id="{B1C86F3A-2ECF-405F-9E28-DC3FD724C8B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DBACC317-0E8C-4056-9CA3-DC31A1A34CE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935AF937-DB21-4AC6-8061-0427E59BC91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2" name="TextBox 1">
          <a:extLst>
            <a:ext uri="{FF2B5EF4-FFF2-40B4-BE49-F238E27FC236}">
              <a16:creationId xmlns:a16="http://schemas.microsoft.com/office/drawing/2014/main" id="{D1BA6B89-CE47-4200-83A6-1D8DA976B65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3" name="TextBox 1">
          <a:extLst>
            <a:ext uri="{FF2B5EF4-FFF2-40B4-BE49-F238E27FC236}">
              <a16:creationId xmlns:a16="http://schemas.microsoft.com/office/drawing/2014/main" id="{F68CE12F-C7B7-49D6-8139-26513130F76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D3BD975A-EA34-4E57-AC91-4222EB094A3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417B9913-330C-44F0-AB4E-24D213ABE9F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6" name="TextBox 1">
          <a:extLst>
            <a:ext uri="{FF2B5EF4-FFF2-40B4-BE49-F238E27FC236}">
              <a16:creationId xmlns:a16="http://schemas.microsoft.com/office/drawing/2014/main" id="{65C95B0B-EC71-4584-BF0F-5C997333EA9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7" name="TextBox 1">
          <a:extLst>
            <a:ext uri="{FF2B5EF4-FFF2-40B4-BE49-F238E27FC236}">
              <a16:creationId xmlns:a16="http://schemas.microsoft.com/office/drawing/2014/main" id="{4C7BC6FC-A90D-42C0-AAD4-7AC976DF592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2D2D62E3-4DB5-432D-A9BA-2A90C4C91FE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09" name="TextBox 1">
          <a:extLst>
            <a:ext uri="{FF2B5EF4-FFF2-40B4-BE49-F238E27FC236}">
              <a16:creationId xmlns:a16="http://schemas.microsoft.com/office/drawing/2014/main" id="{A11E1443-18CC-4F33-828F-DF4C441C068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0" name="TextBox 1">
          <a:extLst>
            <a:ext uri="{FF2B5EF4-FFF2-40B4-BE49-F238E27FC236}">
              <a16:creationId xmlns:a16="http://schemas.microsoft.com/office/drawing/2014/main" id="{A0666DCF-6DE8-4A83-A598-6C779931F5E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4577C890-9F65-4608-B7FF-00F4A2D3BF5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2" name="TextBox 1">
          <a:extLst>
            <a:ext uri="{FF2B5EF4-FFF2-40B4-BE49-F238E27FC236}">
              <a16:creationId xmlns:a16="http://schemas.microsoft.com/office/drawing/2014/main" id="{F2417CCF-C578-412F-A71B-02C18A73D38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1A5C9745-5C6C-4F20-B058-BAF6203CB7E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4" name="TextBox 1">
          <a:extLst>
            <a:ext uri="{FF2B5EF4-FFF2-40B4-BE49-F238E27FC236}">
              <a16:creationId xmlns:a16="http://schemas.microsoft.com/office/drawing/2014/main" id="{8EE37621-A702-4F3F-B575-E8273C6DCB1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5" name="TextBox 1">
          <a:extLst>
            <a:ext uri="{FF2B5EF4-FFF2-40B4-BE49-F238E27FC236}">
              <a16:creationId xmlns:a16="http://schemas.microsoft.com/office/drawing/2014/main" id="{34950640-B2A7-415D-A15B-DC0BD7DCF8B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91635CB3-7B1B-4C1E-BE3B-E83E99AB689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198E2176-9F0E-4B1F-B55A-B9A42CD7C85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8" name="TextBox 1">
          <a:extLst>
            <a:ext uri="{FF2B5EF4-FFF2-40B4-BE49-F238E27FC236}">
              <a16:creationId xmlns:a16="http://schemas.microsoft.com/office/drawing/2014/main" id="{7E941305-C527-45F0-B7CB-DBC469CA8E4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19" name="TextBox 1">
          <a:extLst>
            <a:ext uri="{FF2B5EF4-FFF2-40B4-BE49-F238E27FC236}">
              <a16:creationId xmlns:a16="http://schemas.microsoft.com/office/drawing/2014/main" id="{DEBC8047-0E99-4016-B31A-BE05517E107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305EABC3-AF6B-45D2-8268-ADB3B0C2B4A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3ECC3D1E-B9F0-4A92-B7E0-7B7A5F1358E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5CA6DA1C-0EAF-4C56-8D87-B4C1B8BB0E8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3" name="TextBox 1">
          <a:extLst>
            <a:ext uri="{FF2B5EF4-FFF2-40B4-BE49-F238E27FC236}">
              <a16:creationId xmlns:a16="http://schemas.microsoft.com/office/drawing/2014/main" id="{F18A53C3-429A-431A-B1EE-72E13C6FED2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4" name="TextBox 1">
          <a:extLst>
            <a:ext uri="{FF2B5EF4-FFF2-40B4-BE49-F238E27FC236}">
              <a16:creationId xmlns:a16="http://schemas.microsoft.com/office/drawing/2014/main" id="{5A6E79B6-7CBC-4743-8830-B31FA6C9F5A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B3DAE02B-7349-465D-A16F-7DC98952019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9EA6AE49-1502-4E91-A148-900C29A84AD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7" name="TextBox 1">
          <a:extLst>
            <a:ext uri="{FF2B5EF4-FFF2-40B4-BE49-F238E27FC236}">
              <a16:creationId xmlns:a16="http://schemas.microsoft.com/office/drawing/2014/main" id="{B4F99D81-9E4C-44AE-9F96-9B91B962665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8" name="TextBox 1">
          <a:extLst>
            <a:ext uri="{FF2B5EF4-FFF2-40B4-BE49-F238E27FC236}">
              <a16:creationId xmlns:a16="http://schemas.microsoft.com/office/drawing/2014/main" id="{7F50EFDD-DF9B-4A86-9CFA-7E579B9CAA9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2030D0A3-E8B8-4A67-9260-B4F180C3404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F8544ED0-3CE7-4FE7-9E49-73F60D4751C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1" name="TextBox 1">
          <a:extLst>
            <a:ext uri="{FF2B5EF4-FFF2-40B4-BE49-F238E27FC236}">
              <a16:creationId xmlns:a16="http://schemas.microsoft.com/office/drawing/2014/main" id="{9AA794A3-B9B2-4C30-B255-71AC7E49406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2" name="TextBox 1">
          <a:extLst>
            <a:ext uri="{FF2B5EF4-FFF2-40B4-BE49-F238E27FC236}">
              <a16:creationId xmlns:a16="http://schemas.microsoft.com/office/drawing/2014/main" id="{37D1EB62-74E3-49B6-A9DA-13EC5677019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21EB3A39-A674-4123-81F5-B273E43A993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92998B6C-098A-4322-B011-FA0B82F8EE7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5" name="TextBox 1">
          <a:extLst>
            <a:ext uri="{FF2B5EF4-FFF2-40B4-BE49-F238E27FC236}">
              <a16:creationId xmlns:a16="http://schemas.microsoft.com/office/drawing/2014/main" id="{2A8B1500-173D-4067-9BE7-91910CFA808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6" name="TextBox 1">
          <a:extLst>
            <a:ext uri="{FF2B5EF4-FFF2-40B4-BE49-F238E27FC236}">
              <a16:creationId xmlns:a16="http://schemas.microsoft.com/office/drawing/2014/main" id="{8BA27BC0-73DD-486D-BE4A-0E41C6EA783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7A188374-4EF3-40BF-88D4-685A9C7A1F2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EA337CEB-EC72-4171-BE01-E5BFC929DAF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39" name="TextBox 1">
          <a:extLst>
            <a:ext uri="{FF2B5EF4-FFF2-40B4-BE49-F238E27FC236}">
              <a16:creationId xmlns:a16="http://schemas.microsoft.com/office/drawing/2014/main" id="{193ABE5F-5367-40BD-87A3-E41E884E5A0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0" name="TextBox 1">
          <a:extLst>
            <a:ext uri="{FF2B5EF4-FFF2-40B4-BE49-F238E27FC236}">
              <a16:creationId xmlns:a16="http://schemas.microsoft.com/office/drawing/2014/main" id="{45FAD0E6-0236-438E-AD10-DAE06A971F9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1B52EFDB-AD55-4BFE-9FA4-4209501A7A0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B2AA56E5-A285-4F16-BA3A-3B91CC96D79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3" name="TextBox 1">
          <a:extLst>
            <a:ext uri="{FF2B5EF4-FFF2-40B4-BE49-F238E27FC236}">
              <a16:creationId xmlns:a16="http://schemas.microsoft.com/office/drawing/2014/main" id="{655766F0-2353-4B4B-BDDF-B326E5601ED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4" name="TextBox 1">
          <a:extLst>
            <a:ext uri="{FF2B5EF4-FFF2-40B4-BE49-F238E27FC236}">
              <a16:creationId xmlns:a16="http://schemas.microsoft.com/office/drawing/2014/main" id="{E0ACE888-4D59-4B2E-9A1A-8D0B06F9500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288D66EE-1DFF-4D84-BE6E-3B1EC32D80A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88DE5EFA-DC1F-43B2-BE56-70050D3318D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7" name="TextBox 1">
          <a:extLst>
            <a:ext uri="{FF2B5EF4-FFF2-40B4-BE49-F238E27FC236}">
              <a16:creationId xmlns:a16="http://schemas.microsoft.com/office/drawing/2014/main" id="{3E33D689-4A5F-42CE-BA40-8D1F10C5255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8" name="TextBox 1">
          <a:extLst>
            <a:ext uri="{FF2B5EF4-FFF2-40B4-BE49-F238E27FC236}">
              <a16:creationId xmlns:a16="http://schemas.microsoft.com/office/drawing/2014/main" id="{6BB77097-FC8C-49B9-A394-21C0D66BF9B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ED892132-0DA3-4B90-8FFB-D5E1532D78D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98A80317-FDC5-4786-8865-02194567984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1" name="TextBox 1">
          <a:extLst>
            <a:ext uri="{FF2B5EF4-FFF2-40B4-BE49-F238E27FC236}">
              <a16:creationId xmlns:a16="http://schemas.microsoft.com/office/drawing/2014/main" id="{589736ED-D54A-41ED-85C4-AA6AC987574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2" name="TextBox 1">
          <a:extLst>
            <a:ext uri="{FF2B5EF4-FFF2-40B4-BE49-F238E27FC236}">
              <a16:creationId xmlns:a16="http://schemas.microsoft.com/office/drawing/2014/main" id="{7AB36759-938F-4B16-BD23-C19007AB474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3B11DA3C-2C9D-4610-A7DA-14F46D31896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3E4E7595-4D66-441A-8AE3-A3861E5A1C7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5" name="TextBox 1">
          <a:extLst>
            <a:ext uri="{FF2B5EF4-FFF2-40B4-BE49-F238E27FC236}">
              <a16:creationId xmlns:a16="http://schemas.microsoft.com/office/drawing/2014/main" id="{1C069DF9-5956-4FD5-80EB-238060880F1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6" name="TextBox 1">
          <a:extLst>
            <a:ext uri="{FF2B5EF4-FFF2-40B4-BE49-F238E27FC236}">
              <a16:creationId xmlns:a16="http://schemas.microsoft.com/office/drawing/2014/main" id="{5EC4AC0D-79A6-453B-9825-E72B95DA471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38E21BC2-4514-4CCD-A2AA-DB92CC995B4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CAFF9583-B28A-478F-B290-5F29AF13AC6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26B456C8-6552-47EC-9AAE-FFD022EDA6E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0" name="TextBox 1">
          <a:extLst>
            <a:ext uri="{FF2B5EF4-FFF2-40B4-BE49-F238E27FC236}">
              <a16:creationId xmlns:a16="http://schemas.microsoft.com/office/drawing/2014/main" id="{7F77A71D-C7A2-4011-8417-E9565C40CAB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1" name="TextBox 1">
          <a:extLst>
            <a:ext uri="{FF2B5EF4-FFF2-40B4-BE49-F238E27FC236}">
              <a16:creationId xmlns:a16="http://schemas.microsoft.com/office/drawing/2014/main" id="{70C47229-F736-4B59-88D4-1FAF2F6FE0B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223EBB8F-D6B4-4A08-B15A-F6BB712E2FC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32E559D-77AD-4891-9926-C1B6C591300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4" name="TextBox 1">
          <a:extLst>
            <a:ext uri="{FF2B5EF4-FFF2-40B4-BE49-F238E27FC236}">
              <a16:creationId xmlns:a16="http://schemas.microsoft.com/office/drawing/2014/main" id="{BADA5B54-34CE-4E6B-923F-5402D0BBD23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5" name="TextBox 1">
          <a:extLst>
            <a:ext uri="{FF2B5EF4-FFF2-40B4-BE49-F238E27FC236}">
              <a16:creationId xmlns:a16="http://schemas.microsoft.com/office/drawing/2014/main" id="{BBEB5431-B702-406D-A281-55FA7F5CE08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EF2933E5-585C-4AD0-B901-9D47BA69FA9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F387FB62-BC8C-404D-A47E-B7492247E73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8" name="TextBox 1">
          <a:extLst>
            <a:ext uri="{FF2B5EF4-FFF2-40B4-BE49-F238E27FC236}">
              <a16:creationId xmlns:a16="http://schemas.microsoft.com/office/drawing/2014/main" id="{D5F74DC9-BED2-4CC7-A0C2-DEDA5D80013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69" name="TextBox 1">
          <a:extLst>
            <a:ext uri="{FF2B5EF4-FFF2-40B4-BE49-F238E27FC236}">
              <a16:creationId xmlns:a16="http://schemas.microsoft.com/office/drawing/2014/main" id="{FD1A69B8-F507-4229-B546-AF3C1352AD6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59E6D640-6B5C-47FF-907F-21262E7EA70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1FA15DA3-3F50-4276-8E80-06235D4CB1C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2" name="TextBox 1">
          <a:extLst>
            <a:ext uri="{FF2B5EF4-FFF2-40B4-BE49-F238E27FC236}">
              <a16:creationId xmlns:a16="http://schemas.microsoft.com/office/drawing/2014/main" id="{37C1E932-CE3D-498B-BE98-919FCF5FC34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3" name="TextBox 1">
          <a:extLst>
            <a:ext uri="{FF2B5EF4-FFF2-40B4-BE49-F238E27FC236}">
              <a16:creationId xmlns:a16="http://schemas.microsoft.com/office/drawing/2014/main" id="{6761556B-3A14-4FDD-A023-DC0B9AFCBF9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618A78AA-3DB1-4248-8125-4236622D0BB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552EBFDA-7D72-43BE-B5A3-3DFED743D85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6" name="TextBox 1">
          <a:extLst>
            <a:ext uri="{FF2B5EF4-FFF2-40B4-BE49-F238E27FC236}">
              <a16:creationId xmlns:a16="http://schemas.microsoft.com/office/drawing/2014/main" id="{80C6DA95-D7E5-492F-BAD0-F04F85B0FF7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7" name="TextBox 1">
          <a:extLst>
            <a:ext uri="{FF2B5EF4-FFF2-40B4-BE49-F238E27FC236}">
              <a16:creationId xmlns:a16="http://schemas.microsoft.com/office/drawing/2014/main" id="{B6A92842-0851-4738-B754-B3F82429AA6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FF549467-AF2C-46F0-9AAC-D1977B190FC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E69B32F6-B820-42B5-93C3-BF10FEE8B06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0" name="TextBox 1">
          <a:extLst>
            <a:ext uri="{FF2B5EF4-FFF2-40B4-BE49-F238E27FC236}">
              <a16:creationId xmlns:a16="http://schemas.microsoft.com/office/drawing/2014/main" id="{056E0181-EFF1-478A-9A71-F153A7C7CF1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1" name="TextBox 1">
          <a:extLst>
            <a:ext uri="{FF2B5EF4-FFF2-40B4-BE49-F238E27FC236}">
              <a16:creationId xmlns:a16="http://schemas.microsoft.com/office/drawing/2014/main" id="{ABAFB145-B15B-470C-A2D9-9337516B5D2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A5FEB225-9C7A-4A32-9DCC-824710BD0A3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EDC724F0-54E3-440B-B98D-33E230B92DA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4" name="TextBox 1">
          <a:extLst>
            <a:ext uri="{FF2B5EF4-FFF2-40B4-BE49-F238E27FC236}">
              <a16:creationId xmlns:a16="http://schemas.microsoft.com/office/drawing/2014/main" id="{56AFACC7-29F6-4EEA-8B06-B266E2866EF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5" name="TextBox 1">
          <a:extLst>
            <a:ext uri="{FF2B5EF4-FFF2-40B4-BE49-F238E27FC236}">
              <a16:creationId xmlns:a16="http://schemas.microsoft.com/office/drawing/2014/main" id="{10BF1C66-925F-4BD2-B8BA-751756EB6C2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635E4BAB-BCEB-4306-A352-616FD7E8BE6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BC77E4F3-8B70-4606-9BF4-1E0DEA989CD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8" name="TextBox 1">
          <a:extLst>
            <a:ext uri="{FF2B5EF4-FFF2-40B4-BE49-F238E27FC236}">
              <a16:creationId xmlns:a16="http://schemas.microsoft.com/office/drawing/2014/main" id="{257C8425-920E-4CA0-A2D7-3F91046BDEE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89" name="TextBox 1">
          <a:extLst>
            <a:ext uri="{FF2B5EF4-FFF2-40B4-BE49-F238E27FC236}">
              <a16:creationId xmlns:a16="http://schemas.microsoft.com/office/drawing/2014/main" id="{9087A56B-4A73-4664-8AFD-15CFAAC0674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D8FDC866-4492-4506-B4C3-DDED99FCA2F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2F988C7A-5861-49DF-AAF4-E50D408B392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2" name="TextBox 1">
          <a:extLst>
            <a:ext uri="{FF2B5EF4-FFF2-40B4-BE49-F238E27FC236}">
              <a16:creationId xmlns:a16="http://schemas.microsoft.com/office/drawing/2014/main" id="{CFEBB3B0-C2EE-41A9-B2AF-D3EE0A4496C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3" name="TextBox 1">
          <a:extLst>
            <a:ext uri="{FF2B5EF4-FFF2-40B4-BE49-F238E27FC236}">
              <a16:creationId xmlns:a16="http://schemas.microsoft.com/office/drawing/2014/main" id="{0F345EFA-ECA4-4C4F-A591-E6569F3DF0A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8E69C7DB-0BC7-4942-98C1-7CD50CBD626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1C8E46F5-6E2D-4723-A103-B5C839C1CA1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6" name="TextBox 1">
          <a:extLst>
            <a:ext uri="{FF2B5EF4-FFF2-40B4-BE49-F238E27FC236}">
              <a16:creationId xmlns:a16="http://schemas.microsoft.com/office/drawing/2014/main" id="{B774CFA5-FC2A-411D-8B3D-D156166B95B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7" name="TextBox 1">
          <a:extLst>
            <a:ext uri="{FF2B5EF4-FFF2-40B4-BE49-F238E27FC236}">
              <a16:creationId xmlns:a16="http://schemas.microsoft.com/office/drawing/2014/main" id="{3AF137F1-30F5-4908-A5F8-208E6B9C50D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EDFC4B58-5F97-4FCD-AED2-0D35081DDED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BB260421-E115-4350-86E5-FB566647B99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0" name="TextBox 1">
          <a:extLst>
            <a:ext uri="{FF2B5EF4-FFF2-40B4-BE49-F238E27FC236}">
              <a16:creationId xmlns:a16="http://schemas.microsoft.com/office/drawing/2014/main" id="{C40FD039-A8A1-4540-BD1B-49EB594573E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1" name="TextBox 1">
          <a:extLst>
            <a:ext uri="{FF2B5EF4-FFF2-40B4-BE49-F238E27FC236}">
              <a16:creationId xmlns:a16="http://schemas.microsoft.com/office/drawing/2014/main" id="{9A9183C6-0007-4EB4-A9F5-C01BB38D0FE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1E243240-F61E-4360-8C67-04CEF334495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977D736A-2692-4DCD-9EF5-A410D619B5F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CF2DBBC9-7B96-449E-8BA1-D1139AFB7B3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5" name="TextBox 1">
          <a:extLst>
            <a:ext uri="{FF2B5EF4-FFF2-40B4-BE49-F238E27FC236}">
              <a16:creationId xmlns:a16="http://schemas.microsoft.com/office/drawing/2014/main" id="{78AFF1C0-2823-4571-8FEA-C84A52EC8EA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6" name="TextBox 1">
          <a:extLst>
            <a:ext uri="{FF2B5EF4-FFF2-40B4-BE49-F238E27FC236}">
              <a16:creationId xmlns:a16="http://schemas.microsoft.com/office/drawing/2014/main" id="{61E5B471-6F71-4AF0-BEA8-94AB38A0A27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C14B5533-3A72-472B-8F6D-84325485342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C26A2A1A-C7E6-4EFD-BEAE-5F85ABC6BB8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09" name="TextBox 1">
          <a:extLst>
            <a:ext uri="{FF2B5EF4-FFF2-40B4-BE49-F238E27FC236}">
              <a16:creationId xmlns:a16="http://schemas.microsoft.com/office/drawing/2014/main" id="{CEF9541E-AF9D-44CF-8528-0675CDF8AD1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0" name="TextBox 1">
          <a:extLst>
            <a:ext uri="{FF2B5EF4-FFF2-40B4-BE49-F238E27FC236}">
              <a16:creationId xmlns:a16="http://schemas.microsoft.com/office/drawing/2014/main" id="{4132FF2A-DC61-46FA-82EA-6D39638599D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E901DC5E-CC7A-47F2-8B81-C957887706B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055E71CC-8DB1-4490-887B-138AA2AC542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3" name="TextBox 1">
          <a:extLst>
            <a:ext uri="{FF2B5EF4-FFF2-40B4-BE49-F238E27FC236}">
              <a16:creationId xmlns:a16="http://schemas.microsoft.com/office/drawing/2014/main" id="{A030EA0C-83E7-40DB-826A-6B8206AC97F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4" name="TextBox 1">
          <a:extLst>
            <a:ext uri="{FF2B5EF4-FFF2-40B4-BE49-F238E27FC236}">
              <a16:creationId xmlns:a16="http://schemas.microsoft.com/office/drawing/2014/main" id="{6302FF5B-AA72-4D9C-90A2-CB3549CF3FB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50529DC4-D786-46AB-A67B-8EC0545FAFA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6B93CBF7-6DD7-41E6-841D-1054EE51C02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7" name="TextBox 1">
          <a:extLst>
            <a:ext uri="{FF2B5EF4-FFF2-40B4-BE49-F238E27FC236}">
              <a16:creationId xmlns:a16="http://schemas.microsoft.com/office/drawing/2014/main" id="{ECEE695D-C460-4034-93A7-19E64DCE337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8" name="TextBox 1">
          <a:extLst>
            <a:ext uri="{FF2B5EF4-FFF2-40B4-BE49-F238E27FC236}">
              <a16:creationId xmlns:a16="http://schemas.microsoft.com/office/drawing/2014/main" id="{9947AE21-EEF9-4D58-AF80-B8E68AE029A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0B229942-0EC0-449A-A694-FC1F78491D6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91E39CC8-6154-4814-9FAF-124A6A69390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1" name="TextBox 1">
          <a:extLst>
            <a:ext uri="{FF2B5EF4-FFF2-40B4-BE49-F238E27FC236}">
              <a16:creationId xmlns:a16="http://schemas.microsoft.com/office/drawing/2014/main" id="{82969515-F483-4FCB-A512-A2FC75CE373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2" name="TextBox 1">
          <a:extLst>
            <a:ext uri="{FF2B5EF4-FFF2-40B4-BE49-F238E27FC236}">
              <a16:creationId xmlns:a16="http://schemas.microsoft.com/office/drawing/2014/main" id="{6CEB13F1-19AE-4710-8FE1-D504DE7D7BE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41226024-1399-42B5-8330-707E7353472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DE66359A-52D0-4889-9339-94965A12592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5" name="TextBox 1">
          <a:extLst>
            <a:ext uri="{FF2B5EF4-FFF2-40B4-BE49-F238E27FC236}">
              <a16:creationId xmlns:a16="http://schemas.microsoft.com/office/drawing/2014/main" id="{E5F915D0-D7DC-405B-A619-5082BA37061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6" name="TextBox 1">
          <a:extLst>
            <a:ext uri="{FF2B5EF4-FFF2-40B4-BE49-F238E27FC236}">
              <a16:creationId xmlns:a16="http://schemas.microsoft.com/office/drawing/2014/main" id="{74E8B992-D4F0-4BA0-B26A-831339B8944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1BC02587-7557-4F61-BD3F-6E27F9F4BF5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FCFF62E8-1273-4249-97C7-AE4704A9926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29" name="TextBox 1">
          <a:extLst>
            <a:ext uri="{FF2B5EF4-FFF2-40B4-BE49-F238E27FC236}">
              <a16:creationId xmlns:a16="http://schemas.microsoft.com/office/drawing/2014/main" id="{E29DB6F2-A3DC-4EAD-B044-6EDF693962B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0" name="TextBox 1">
          <a:extLst>
            <a:ext uri="{FF2B5EF4-FFF2-40B4-BE49-F238E27FC236}">
              <a16:creationId xmlns:a16="http://schemas.microsoft.com/office/drawing/2014/main" id="{6755F7D6-BFC4-410D-A2CD-E54640387C0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5D169B08-8D31-4768-91C9-5F587567CEF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B0FCF32-23D7-40A4-8C85-8EE71BF86EE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3" name="TextBox 1">
          <a:extLst>
            <a:ext uri="{FF2B5EF4-FFF2-40B4-BE49-F238E27FC236}">
              <a16:creationId xmlns:a16="http://schemas.microsoft.com/office/drawing/2014/main" id="{F6B6DB9A-5043-4355-B396-03A7A1C4348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4" name="TextBox 1">
          <a:extLst>
            <a:ext uri="{FF2B5EF4-FFF2-40B4-BE49-F238E27FC236}">
              <a16:creationId xmlns:a16="http://schemas.microsoft.com/office/drawing/2014/main" id="{EBEF1691-94C3-4323-A00D-D115FA92356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B78E5806-10F0-48B1-A966-0990B0D715C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536F7CC4-F6F9-40F2-B731-8007B5E621C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7" name="TextBox 1">
          <a:extLst>
            <a:ext uri="{FF2B5EF4-FFF2-40B4-BE49-F238E27FC236}">
              <a16:creationId xmlns:a16="http://schemas.microsoft.com/office/drawing/2014/main" id="{D37AE64E-F654-4A36-B1BE-C30A2A5EA15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8" name="TextBox 1">
          <a:extLst>
            <a:ext uri="{FF2B5EF4-FFF2-40B4-BE49-F238E27FC236}">
              <a16:creationId xmlns:a16="http://schemas.microsoft.com/office/drawing/2014/main" id="{4A4C5DFF-B669-4AD2-A9B8-329320C04E6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722254DA-9C2A-42DE-A14E-37416FB2A01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0" name="TextBox 1">
          <a:extLst>
            <a:ext uri="{FF2B5EF4-FFF2-40B4-BE49-F238E27FC236}">
              <a16:creationId xmlns:a16="http://schemas.microsoft.com/office/drawing/2014/main" id="{DA530869-E43C-4E45-AC1D-8CFC78D0FB3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1" name="TextBox 1">
          <a:extLst>
            <a:ext uri="{FF2B5EF4-FFF2-40B4-BE49-F238E27FC236}">
              <a16:creationId xmlns:a16="http://schemas.microsoft.com/office/drawing/2014/main" id="{AF85F309-778F-4A24-BD9D-85190CAC5FD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FBA44C75-AD07-47D3-AF78-86573336878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3" name="TextBox 1">
          <a:extLst>
            <a:ext uri="{FF2B5EF4-FFF2-40B4-BE49-F238E27FC236}">
              <a16:creationId xmlns:a16="http://schemas.microsoft.com/office/drawing/2014/main" id="{FAA0595A-B601-4C7A-B3CE-742614487DD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A68E9AB9-316E-483E-9047-8A541132D88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5" name="TextBox 1">
          <a:extLst>
            <a:ext uri="{FF2B5EF4-FFF2-40B4-BE49-F238E27FC236}">
              <a16:creationId xmlns:a16="http://schemas.microsoft.com/office/drawing/2014/main" id="{89371540-6395-4E1B-8A22-EE9D10B559F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6" name="TextBox 1">
          <a:extLst>
            <a:ext uri="{FF2B5EF4-FFF2-40B4-BE49-F238E27FC236}">
              <a16:creationId xmlns:a16="http://schemas.microsoft.com/office/drawing/2014/main" id="{059CF1BB-48C4-4AE8-9FCC-E7934C02594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E7C7C421-C8CA-43B4-BB37-00E2751A279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BF5B3F7F-EA4C-425E-9A6D-A6E05AB0435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49" name="TextBox 1">
          <a:extLst>
            <a:ext uri="{FF2B5EF4-FFF2-40B4-BE49-F238E27FC236}">
              <a16:creationId xmlns:a16="http://schemas.microsoft.com/office/drawing/2014/main" id="{EE81484F-A3DC-4C3C-B0FC-ADE76FC4EB4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0" name="TextBox 1">
          <a:extLst>
            <a:ext uri="{FF2B5EF4-FFF2-40B4-BE49-F238E27FC236}">
              <a16:creationId xmlns:a16="http://schemas.microsoft.com/office/drawing/2014/main" id="{75327E07-5AA2-4F36-BE68-65117B7795D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F46EC3EE-6062-4151-8FFF-4513EE88EAA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2C45D037-5142-4367-9843-15D00D5C25C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6E113C5F-5DA4-4151-A75D-2EAF65BC547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4" name="TextBox 1">
          <a:extLst>
            <a:ext uri="{FF2B5EF4-FFF2-40B4-BE49-F238E27FC236}">
              <a16:creationId xmlns:a16="http://schemas.microsoft.com/office/drawing/2014/main" id="{EDE29854-FE42-4FC3-ACB3-A4A6AAA5049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5" name="TextBox 1">
          <a:extLst>
            <a:ext uri="{FF2B5EF4-FFF2-40B4-BE49-F238E27FC236}">
              <a16:creationId xmlns:a16="http://schemas.microsoft.com/office/drawing/2014/main" id="{3BC0B307-A071-4B67-82AE-D8EE503D0E0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BEF79998-79B2-46B6-A15A-3A2CEC0B38B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5ACA5437-DE8B-4768-BC46-C49E95676E3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8" name="TextBox 1">
          <a:extLst>
            <a:ext uri="{FF2B5EF4-FFF2-40B4-BE49-F238E27FC236}">
              <a16:creationId xmlns:a16="http://schemas.microsoft.com/office/drawing/2014/main" id="{B5BC5BD1-8D26-48DB-AE0F-3126E53CB82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59" name="TextBox 1">
          <a:extLst>
            <a:ext uri="{FF2B5EF4-FFF2-40B4-BE49-F238E27FC236}">
              <a16:creationId xmlns:a16="http://schemas.microsoft.com/office/drawing/2014/main" id="{9568AE74-0AE1-4981-938E-50DB3DDB5EA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3632E8B9-F4D1-4746-BBF1-86D5684D86C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AAA4B903-03FD-447D-873D-94345C5935F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2" name="TextBox 1">
          <a:extLst>
            <a:ext uri="{FF2B5EF4-FFF2-40B4-BE49-F238E27FC236}">
              <a16:creationId xmlns:a16="http://schemas.microsoft.com/office/drawing/2014/main" id="{C525D2FF-D6E5-47E6-A9CA-EA39E59CEC7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3" name="TextBox 1">
          <a:extLst>
            <a:ext uri="{FF2B5EF4-FFF2-40B4-BE49-F238E27FC236}">
              <a16:creationId xmlns:a16="http://schemas.microsoft.com/office/drawing/2014/main" id="{AAC0CA36-188F-4988-812F-B06D04FB02D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45E577C7-09C0-4215-981D-A1D0BAF5AC6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6EE2E0A0-6E0F-491D-8B6B-92F6D81B835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6" name="TextBox 1">
          <a:extLst>
            <a:ext uri="{FF2B5EF4-FFF2-40B4-BE49-F238E27FC236}">
              <a16:creationId xmlns:a16="http://schemas.microsoft.com/office/drawing/2014/main" id="{4A3F60E1-363A-4ABD-A9EB-D8D769D12F8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7" name="TextBox 1">
          <a:extLst>
            <a:ext uri="{FF2B5EF4-FFF2-40B4-BE49-F238E27FC236}">
              <a16:creationId xmlns:a16="http://schemas.microsoft.com/office/drawing/2014/main" id="{838B3886-D00D-4199-BE86-D0C3BC7E2ED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BD3F182B-C665-47BB-9CEA-8FEC075C17E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69E3F43F-1108-41DA-BF5C-8E06E6D5636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0" name="TextBox 1">
          <a:extLst>
            <a:ext uri="{FF2B5EF4-FFF2-40B4-BE49-F238E27FC236}">
              <a16:creationId xmlns:a16="http://schemas.microsoft.com/office/drawing/2014/main" id="{F35CFCA8-B4BD-4C4E-814F-1716FCED822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1" name="TextBox 1">
          <a:extLst>
            <a:ext uri="{FF2B5EF4-FFF2-40B4-BE49-F238E27FC236}">
              <a16:creationId xmlns:a16="http://schemas.microsoft.com/office/drawing/2014/main" id="{1774E8D1-0ECF-4D74-AEE0-29D28DFEF08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7C129498-6811-48F2-BA92-BF869092D79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35063A70-D3F5-420E-8DBE-7984A05D912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4" name="TextBox 1">
          <a:extLst>
            <a:ext uri="{FF2B5EF4-FFF2-40B4-BE49-F238E27FC236}">
              <a16:creationId xmlns:a16="http://schemas.microsoft.com/office/drawing/2014/main" id="{56BC5370-6BEC-4C70-9FAD-64758C48D49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5" name="TextBox 1">
          <a:extLst>
            <a:ext uri="{FF2B5EF4-FFF2-40B4-BE49-F238E27FC236}">
              <a16:creationId xmlns:a16="http://schemas.microsoft.com/office/drawing/2014/main" id="{89EF9F43-F0FE-446C-976E-BE207D5C10E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25CCB55D-DBDB-4187-853E-99C85E078AC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526E4732-2AE3-4460-9F34-3EB25CD919B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8" name="TextBox 1">
          <a:extLst>
            <a:ext uri="{FF2B5EF4-FFF2-40B4-BE49-F238E27FC236}">
              <a16:creationId xmlns:a16="http://schemas.microsoft.com/office/drawing/2014/main" id="{CC75A064-2E2A-46E7-B605-392DFB25882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79" name="TextBox 1">
          <a:extLst>
            <a:ext uri="{FF2B5EF4-FFF2-40B4-BE49-F238E27FC236}">
              <a16:creationId xmlns:a16="http://schemas.microsoft.com/office/drawing/2014/main" id="{86810952-2DA0-4880-AEBD-31A34A81CEF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2E22FCBE-9464-424F-AEB7-7F0E0C7F988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7828392D-E631-45F5-B725-D6AC352F722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2" name="TextBox 1">
          <a:extLst>
            <a:ext uri="{FF2B5EF4-FFF2-40B4-BE49-F238E27FC236}">
              <a16:creationId xmlns:a16="http://schemas.microsoft.com/office/drawing/2014/main" id="{4DA21573-F7CC-496D-96E9-C133DAA430F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3" name="TextBox 1">
          <a:extLst>
            <a:ext uri="{FF2B5EF4-FFF2-40B4-BE49-F238E27FC236}">
              <a16:creationId xmlns:a16="http://schemas.microsoft.com/office/drawing/2014/main" id="{03E5ED37-31CE-4380-88BF-F8D2169F239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5A455BB2-01B1-4569-9393-C0BDE0B5170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48321462-9597-476E-A6ED-434B683051C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6" name="TextBox 1">
          <a:extLst>
            <a:ext uri="{FF2B5EF4-FFF2-40B4-BE49-F238E27FC236}">
              <a16:creationId xmlns:a16="http://schemas.microsoft.com/office/drawing/2014/main" id="{E10A8D84-09BA-43E2-BA14-BFC788A5A31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7" name="TextBox 1">
          <a:extLst>
            <a:ext uri="{FF2B5EF4-FFF2-40B4-BE49-F238E27FC236}">
              <a16:creationId xmlns:a16="http://schemas.microsoft.com/office/drawing/2014/main" id="{53D62619-08CF-4B4C-88F1-EA366141C0E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88CF4525-D1E5-45E6-87BE-4B715C74453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EE79D489-71FD-4391-82A7-BA6278776C1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F235F101-1BEC-4772-B7B6-FCF4D941550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1" name="TextBox 1">
          <a:extLst>
            <a:ext uri="{FF2B5EF4-FFF2-40B4-BE49-F238E27FC236}">
              <a16:creationId xmlns:a16="http://schemas.microsoft.com/office/drawing/2014/main" id="{93CD1757-EF20-4F43-9E42-536B68B6FE8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2" name="TextBox 1">
          <a:extLst>
            <a:ext uri="{FF2B5EF4-FFF2-40B4-BE49-F238E27FC236}">
              <a16:creationId xmlns:a16="http://schemas.microsoft.com/office/drawing/2014/main" id="{A818BB66-D09E-49D3-909C-A2C2670BE07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0A87BF43-4A65-42DE-B7E8-0F9B4820D85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5DFCAB8B-860F-4CFF-80E8-9F6C3639034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5" name="TextBox 1">
          <a:extLst>
            <a:ext uri="{FF2B5EF4-FFF2-40B4-BE49-F238E27FC236}">
              <a16:creationId xmlns:a16="http://schemas.microsoft.com/office/drawing/2014/main" id="{64DC6BE4-E7E7-4E95-ACCB-2100190FAFC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6" name="TextBox 1">
          <a:extLst>
            <a:ext uri="{FF2B5EF4-FFF2-40B4-BE49-F238E27FC236}">
              <a16:creationId xmlns:a16="http://schemas.microsoft.com/office/drawing/2014/main" id="{639A92C0-480A-48AD-9E15-F6F28C7C53C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34065A32-E858-419A-BB9B-B0B9623441D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7FEA4C29-B706-49B2-976B-D2424D4F14E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499" name="TextBox 1">
          <a:extLst>
            <a:ext uri="{FF2B5EF4-FFF2-40B4-BE49-F238E27FC236}">
              <a16:creationId xmlns:a16="http://schemas.microsoft.com/office/drawing/2014/main" id="{31446384-069D-480A-9DF9-4F85F1C75DB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0" name="TextBox 1">
          <a:extLst>
            <a:ext uri="{FF2B5EF4-FFF2-40B4-BE49-F238E27FC236}">
              <a16:creationId xmlns:a16="http://schemas.microsoft.com/office/drawing/2014/main" id="{BA4C60E2-85D6-4929-84BB-6A212A0A097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406AC87B-CD83-48F4-970A-DAC992C711E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7F2832F2-3B23-4EAF-9A8E-648FEE2A509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3" name="TextBox 1">
          <a:extLst>
            <a:ext uri="{FF2B5EF4-FFF2-40B4-BE49-F238E27FC236}">
              <a16:creationId xmlns:a16="http://schemas.microsoft.com/office/drawing/2014/main" id="{E58D1145-3D28-4F39-8EFD-458B7043D34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4" name="TextBox 1">
          <a:extLst>
            <a:ext uri="{FF2B5EF4-FFF2-40B4-BE49-F238E27FC236}">
              <a16:creationId xmlns:a16="http://schemas.microsoft.com/office/drawing/2014/main" id="{35B2C446-6C40-4EDF-A82F-7065FB46FDC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45C4EA42-8F86-4D13-9EEA-8FD5BE45E1E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8456C16B-101F-433E-80C8-FA9FC0724A5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7" name="TextBox 1">
          <a:extLst>
            <a:ext uri="{FF2B5EF4-FFF2-40B4-BE49-F238E27FC236}">
              <a16:creationId xmlns:a16="http://schemas.microsoft.com/office/drawing/2014/main" id="{AED85C35-098D-4DA5-BDB0-CFA37924EBB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8" name="TextBox 1">
          <a:extLst>
            <a:ext uri="{FF2B5EF4-FFF2-40B4-BE49-F238E27FC236}">
              <a16:creationId xmlns:a16="http://schemas.microsoft.com/office/drawing/2014/main" id="{8A30111D-0D38-47EC-8C39-1358ECA12E1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E81C48A3-1D93-42C7-B008-C7181DAC10D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16A3FDE9-1269-4F00-95F1-794835E7DBA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1" name="TextBox 1">
          <a:extLst>
            <a:ext uri="{FF2B5EF4-FFF2-40B4-BE49-F238E27FC236}">
              <a16:creationId xmlns:a16="http://schemas.microsoft.com/office/drawing/2014/main" id="{35B45E8C-747A-4288-BEA2-F0F879227AB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2" name="TextBox 1">
          <a:extLst>
            <a:ext uri="{FF2B5EF4-FFF2-40B4-BE49-F238E27FC236}">
              <a16:creationId xmlns:a16="http://schemas.microsoft.com/office/drawing/2014/main" id="{64BAB091-EAFA-433F-8502-B468EC05A3E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490405EB-8694-4A03-8DF1-4FFFE37D35D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BC79AD68-43AC-4228-885D-9C0557027A0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5" name="TextBox 1">
          <a:extLst>
            <a:ext uri="{FF2B5EF4-FFF2-40B4-BE49-F238E27FC236}">
              <a16:creationId xmlns:a16="http://schemas.microsoft.com/office/drawing/2014/main" id="{3DE1BB70-4973-4B89-B75C-BC638EBA6A3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6" name="TextBox 1">
          <a:extLst>
            <a:ext uri="{FF2B5EF4-FFF2-40B4-BE49-F238E27FC236}">
              <a16:creationId xmlns:a16="http://schemas.microsoft.com/office/drawing/2014/main" id="{8A07303F-BDAC-4D75-AEFC-C3CEA33A58A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8F10C352-5C28-4A60-B3A8-5AB6235AC83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ACB266F1-18AC-4B56-A0ED-3B7D45352EA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19" name="TextBox 1">
          <a:extLst>
            <a:ext uri="{FF2B5EF4-FFF2-40B4-BE49-F238E27FC236}">
              <a16:creationId xmlns:a16="http://schemas.microsoft.com/office/drawing/2014/main" id="{216077DC-B397-46FF-B1A3-5F7E6A93D08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0" name="TextBox 1">
          <a:extLst>
            <a:ext uri="{FF2B5EF4-FFF2-40B4-BE49-F238E27FC236}">
              <a16:creationId xmlns:a16="http://schemas.microsoft.com/office/drawing/2014/main" id="{1E9C7E9A-4D6C-40C7-8E1F-D7DCC91A755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45C1B9B6-143C-42BE-8D57-4A6291E8E64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4FA845C4-8158-4309-8EBF-3B9E272584C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3" name="TextBox 1">
          <a:extLst>
            <a:ext uri="{FF2B5EF4-FFF2-40B4-BE49-F238E27FC236}">
              <a16:creationId xmlns:a16="http://schemas.microsoft.com/office/drawing/2014/main" id="{21E8123D-A8EE-4498-88EA-82BE52104B2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4" name="TextBox 1">
          <a:extLst>
            <a:ext uri="{FF2B5EF4-FFF2-40B4-BE49-F238E27FC236}">
              <a16:creationId xmlns:a16="http://schemas.microsoft.com/office/drawing/2014/main" id="{6A992B46-225D-41DD-8CF1-93FDAE1289F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EC3C1FD7-ED57-4E55-AECF-06779B1274A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A630B242-6CCD-46F7-9C91-9D426B74272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7" name="TextBox 1">
          <a:extLst>
            <a:ext uri="{FF2B5EF4-FFF2-40B4-BE49-F238E27FC236}">
              <a16:creationId xmlns:a16="http://schemas.microsoft.com/office/drawing/2014/main" id="{24F7EFE5-4024-4E75-AF08-ACBBDA03B62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8" name="TextBox 1">
          <a:extLst>
            <a:ext uri="{FF2B5EF4-FFF2-40B4-BE49-F238E27FC236}">
              <a16:creationId xmlns:a16="http://schemas.microsoft.com/office/drawing/2014/main" id="{AC191587-945C-4D4E-8DB6-07B9A537F52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24F0A816-10AC-49C1-91E6-645D4F3F33A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D9A97441-A2CD-471F-9A14-8448ABA0DF6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1" name="TextBox 1">
          <a:extLst>
            <a:ext uri="{FF2B5EF4-FFF2-40B4-BE49-F238E27FC236}">
              <a16:creationId xmlns:a16="http://schemas.microsoft.com/office/drawing/2014/main" id="{C043D660-8DC8-437D-8661-512F5DD13D2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2" name="TextBox 1">
          <a:extLst>
            <a:ext uri="{FF2B5EF4-FFF2-40B4-BE49-F238E27FC236}">
              <a16:creationId xmlns:a16="http://schemas.microsoft.com/office/drawing/2014/main" id="{4B9F09FD-2C8C-4209-A044-DCA18FA8AB6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850441DC-94C4-433D-AF70-CEBBD612530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3C068255-7408-4E64-8680-EE45CAF063B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C81D995A-F669-4ECD-BDE9-F3211EFE903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6" name="TextBox 1">
          <a:extLst>
            <a:ext uri="{FF2B5EF4-FFF2-40B4-BE49-F238E27FC236}">
              <a16:creationId xmlns:a16="http://schemas.microsoft.com/office/drawing/2014/main" id="{13EC6013-CE4F-4334-A62F-D1F422EFCE3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7" name="TextBox 1">
          <a:extLst>
            <a:ext uri="{FF2B5EF4-FFF2-40B4-BE49-F238E27FC236}">
              <a16:creationId xmlns:a16="http://schemas.microsoft.com/office/drawing/2014/main" id="{1056810B-162C-4021-A7CC-0A0831AD035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BC75C5C4-A247-4CDA-A7E4-81F72119E14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C09EB202-CB3E-4E85-8671-422F7119858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0" name="TextBox 1">
          <a:extLst>
            <a:ext uri="{FF2B5EF4-FFF2-40B4-BE49-F238E27FC236}">
              <a16:creationId xmlns:a16="http://schemas.microsoft.com/office/drawing/2014/main" id="{AF75D20D-72B4-4340-ACA2-85FEE740C70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1" name="TextBox 1">
          <a:extLst>
            <a:ext uri="{FF2B5EF4-FFF2-40B4-BE49-F238E27FC236}">
              <a16:creationId xmlns:a16="http://schemas.microsoft.com/office/drawing/2014/main" id="{F37B8141-AA3B-4B13-BB7C-26FB72F1779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303A106B-E9B0-41FB-AEE7-010F2931E68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917E3897-69DC-4100-9EF6-7982DF70D51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4" name="TextBox 1">
          <a:extLst>
            <a:ext uri="{FF2B5EF4-FFF2-40B4-BE49-F238E27FC236}">
              <a16:creationId xmlns:a16="http://schemas.microsoft.com/office/drawing/2014/main" id="{2CF9DC7B-C4D7-4217-85AC-DDA3E93E674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5" name="TextBox 1">
          <a:extLst>
            <a:ext uri="{FF2B5EF4-FFF2-40B4-BE49-F238E27FC236}">
              <a16:creationId xmlns:a16="http://schemas.microsoft.com/office/drawing/2014/main" id="{256B2B2B-E3CD-4AAD-9B55-DB1B368749F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8D22EA03-FA44-4791-97F0-10084A1B977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CFD27E77-BCCF-407F-AAE4-B0F47DDBEDD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8" name="TextBox 1">
          <a:extLst>
            <a:ext uri="{FF2B5EF4-FFF2-40B4-BE49-F238E27FC236}">
              <a16:creationId xmlns:a16="http://schemas.microsoft.com/office/drawing/2014/main" id="{8DDBA0BD-3316-4585-8757-BC9C183C8E5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49" name="TextBox 1">
          <a:extLst>
            <a:ext uri="{FF2B5EF4-FFF2-40B4-BE49-F238E27FC236}">
              <a16:creationId xmlns:a16="http://schemas.microsoft.com/office/drawing/2014/main" id="{FDB8165D-9F4C-465D-BF95-7CBAC7F886D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A81278A6-596E-4FBC-8605-85FBC2FAD59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8404636F-38E2-4E60-AD7E-5136BD67595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2" name="TextBox 1">
          <a:extLst>
            <a:ext uri="{FF2B5EF4-FFF2-40B4-BE49-F238E27FC236}">
              <a16:creationId xmlns:a16="http://schemas.microsoft.com/office/drawing/2014/main" id="{EB75315B-FB6E-4DD6-A914-9FBD413E339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3" name="TextBox 1">
          <a:extLst>
            <a:ext uri="{FF2B5EF4-FFF2-40B4-BE49-F238E27FC236}">
              <a16:creationId xmlns:a16="http://schemas.microsoft.com/office/drawing/2014/main" id="{027201E8-228A-45AE-BF86-C3962282E5E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E537E5D4-621C-4478-94D1-662379837AD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AB68F7B7-5CFA-431D-8084-2BE5095E0A9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6" name="TextBox 1">
          <a:extLst>
            <a:ext uri="{FF2B5EF4-FFF2-40B4-BE49-F238E27FC236}">
              <a16:creationId xmlns:a16="http://schemas.microsoft.com/office/drawing/2014/main" id="{3F1B6D13-2D59-4CCF-A324-DDDDDB026EF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7" name="TextBox 1">
          <a:extLst>
            <a:ext uri="{FF2B5EF4-FFF2-40B4-BE49-F238E27FC236}">
              <a16:creationId xmlns:a16="http://schemas.microsoft.com/office/drawing/2014/main" id="{02391B28-D49E-4EDF-9B4B-32A199C8B3E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61137A78-9EB7-4918-AFFF-AD7F1ADF786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4371B5DD-F3E3-4234-8830-9FF5ABC0392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0" name="TextBox 1">
          <a:extLst>
            <a:ext uri="{FF2B5EF4-FFF2-40B4-BE49-F238E27FC236}">
              <a16:creationId xmlns:a16="http://schemas.microsoft.com/office/drawing/2014/main" id="{35CCCEAF-EA56-4991-9678-A85C9ABB023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1" name="TextBox 1">
          <a:extLst>
            <a:ext uri="{FF2B5EF4-FFF2-40B4-BE49-F238E27FC236}">
              <a16:creationId xmlns:a16="http://schemas.microsoft.com/office/drawing/2014/main" id="{09625982-D28E-4B75-B77C-FA40B868BE9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57E7F517-C7E1-4624-9584-4AE97A11565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8959AB36-43C0-47B3-92C1-D1C2E7D228F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4" name="TextBox 1">
          <a:extLst>
            <a:ext uri="{FF2B5EF4-FFF2-40B4-BE49-F238E27FC236}">
              <a16:creationId xmlns:a16="http://schemas.microsoft.com/office/drawing/2014/main" id="{109226FB-9788-41EC-A72F-B32BEBDD8D9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5" name="TextBox 1">
          <a:extLst>
            <a:ext uri="{FF2B5EF4-FFF2-40B4-BE49-F238E27FC236}">
              <a16:creationId xmlns:a16="http://schemas.microsoft.com/office/drawing/2014/main" id="{B068C048-48E0-4595-9EA4-121A4934FAB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F47C924A-3468-4FD1-A5B3-8BB08498A13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00424DDF-E061-443F-9BC0-E6317DAC2E8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8" name="TextBox 1">
          <a:extLst>
            <a:ext uri="{FF2B5EF4-FFF2-40B4-BE49-F238E27FC236}">
              <a16:creationId xmlns:a16="http://schemas.microsoft.com/office/drawing/2014/main" id="{4E51FE4B-5FD7-4C76-A016-3111527F3ED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69" name="TextBox 1">
          <a:extLst>
            <a:ext uri="{FF2B5EF4-FFF2-40B4-BE49-F238E27FC236}">
              <a16:creationId xmlns:a16="http://schemas.microsoft.com/office/drawing/2014/main" id="{4E23FC53-420B-44D3-AB9B-9DE05EFD6BA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3D761E3B-D9E0-48A8-817D-5F75005BCB3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1" name="TextBox 1">
          <a:extLst>
            <a:ext uri="{FF2B5EF4-FFF2-40B4-BE49-F238E27FC236}">
              <a16:creationId xmlns:a16="http://schemas.microsoft.com/office/drawing/2014/main" id="{37A58119-8041-4AEE-B5A0-DE2703E8D81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2" name="TextBox 1">
          <a:extLst>
            <a:ext uri="{FF2B5EF4-FFF2-40B4-BE49-F238E27FC236}">
              <a16:creationId xmlns:a16="http://schemas.microsoft.com/office/drawing/2014/main" id="{953456E6-FC29-4794-B562-0F36BED33A6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3C9E0E66-4775-4034-8B1B-3F7007D81EF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4" name="TextBox 1">
          <a:extLst>
            <a:ext uri="{FF2B5EF4-FFF2-40B4-BE49-F238E27FC236}">
              <a16:creationId xmlns:a16="http://schemas.microsoft.com/office/drawing/2014/main" id="{8930D03F-230D-4B9D-9539-B32562835BB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2F6C124B-BC0C-412E-B36C-0C342A6AAB2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6" name="TextBox 1">
          <a:extLst>
            <a:ext uri="{FF2B5EF4-FFF2-40B4-BE49-F238E27FC236}">
              <a16:creationId xmlns:a16="http://schemas.microsoft.com/office/drawing/2014/main" id="{AE4173F7-AD1A-4DC8-8FC9-F6CDD6AF6D9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7" name="TextBox 1">
          <a:extLst>
            <a:ext uri="{FF2B5EF4-FFF2-40B4-BE49-F238E27FC236}">
              <a16:creationId xmlns:a16="http://schemas.microsoft.com/office/drawing/2014/main" id="{2EED44E6-87A1-4075-B1A7-B34E66D1D52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46785AF-2ABA-4D41-819F-E55875B4F0F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1892CE9E-0F83-4550-B595-0CA9A22D7F8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0" name="TextBox 1">
          <a:extLst>
            <a:ext uri="{FF2B5EF4-FFF2-40B4-BE49-F238E27FC236}">
              <a16:creationId xmlns:a16="http://schemas.microsoft.com/office/drawing/2014/main" id="{609377A8-533C-4BF1-8338-7074559CB64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1" name="TextBox 1">
          <a:extLst>
            <a:ext uri="{FF2B5EF4-FFF2-40B4-BE49-F238E27FC236}">
              <a16:creationId xmlns:a16="http://schemas.microsoft.com/office/drawing/2014/main" id="{D25CE93C-A10D-410D-BC89-4E6177B209C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3DE025E3-D4D5-437D-85A4-B1B83C1E7B1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4577A5BB-6380-46CB-94BF-13317C08FDD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10A50625-D93D-4F47-A69E-E6E99D2EA0F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5" name="TextBox 1">
          <a:extLst>
            <a:ext uri="{FF2B5EF4-FFF2-40B4-BE49-F238E27FC236}">
              <a16:creationId xmlns:a16="http://schemas.microsoft.com/office/drawing/2014/main" id="{B4B74910-CCA4-4DF0-B6EA-FD71491278B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6" name="TextBox 1">
          <a:extLst>
            <a:ext uri="{FF2B5EF4-FFF2-40B4-BE49-F238E27FC236}">
              <a16:creationId xmlns:a16="http://schemas.microsoft.com/office/drawing/2014/main" id="{2DAF4C9E-5456-4911-957D-1094D38A027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57991C53-AA14-431C-94D6-167FB61896E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F1EA86F1-1A71-42E6-9992-93011C71EF0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89" name="TextBox 1">
          <a:extLst>
            <a:ext uri="{FF2B5EF4-FFF2-40B4-BE49-F238E27FC236}">
              <a16:creationId xmlns:a16="http://schemas.microsoft.com/office/drawing/2014/main" id="{E07B2C6C-7E75-418F-98E0-5314A68CBE4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0" name="TextBox 1">
          <a:extLst>
            <a:ext uri="{FF2B5EF4-FFF2-40B4-BE49-F238E27FC236}">
              <a16:creationId xmlns:a16="http://schemas.microsoft.com/office/drawing/2014/main" id="{9C371472-2A11-46CB-ACE2-525D6D40551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F9781716-839B-40C7-BED0-299B8430233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BE8D4524-6BA5-4541-A253-01852187150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3" name="TextBox 1">
          <a:extLst>
            <a:ext uri="{FF2B5EF4-FFF2-40B4-BE49-F238E27FC236}">
              <a16:creationId xmlns:a16="http://schemas.microsoft.com/office/drawing/2014/main" id="{87C5C638-FAC8-45E2-8007-E95F3A51C3C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4" name="TextBox 1">
          <a:extLst>
            <a:ext uri="{FF2B5EF4-FFF2-40B4-BE49-F238E27FC236}">
              <a16:creationId xmlns:a16="http://schemas.microsoft.com/office/drawing/2014/main" id="{B5F9A661-89C2-426F-9C37-5400FE11477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181E2D71-0F97-4905-ABB6-3B102A27050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D9D37E3B-E59A-4628-B754-09023C5C9A8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7" name="TextBox 1">
          <a:extLst>
            <a:ext uri="{FF2B5EF4-FFF2-40B4-BE49-F238E27FC236}">
              <a16:creationId xmlns:a16="http://schemas.microsoft.com/office/drawing/2014/main" id="{06F488CE-26BF-462D-87FF-9B08CD5A6A1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8" name="TextBox 1">
          <a:extLst>
            <a:ext uri="{FF2B5EF4-FFF2-40B4-BE49-F238E27FC236}">
              <a16:creationId xmlns:a16="http://schemas.microsoft.com/office/drawing/2014/main" id="{BC1750F1-3AB9-4622-AE71-6271EA638E2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97950F83-B4C4-48CC-89E2-4EDB3A07E04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3672DE3F-D358-4B58-919A-DF325040D0E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1" name="TextBox 1">
          <a:extLst>
            <a:ext uri="{FF2B5EF4-FFF2-40B4-BE49-F238E27FC236}">
              <a16:creationId xmlns:a16="http://schemas.microsoft.com/office/drawing/2014/main" id="{ED0ACB1C-A4F8-40BA-8F5F-AF44FDB68EF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2" name="TextBox 1">
          <a:extLst>
            <a:ext uri="{FF2B5EF4-FFF2-40B4-BE49-F238E27FC236}">
              <a16:creationId xmlns:a16="http://schemas.microsoft.com/office/drawing/2014/main" id="{8C1D9FA2-C67B-456C-BEE7-B34601B3FC2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6938900E-A059-4A7A-97E8-C6292856607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409DFE8-6104-4F62-BD4E-9E2E9A38DB7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5" name="TextBox 1">
          <a:extLst>
            <a:ext uri="{FF2B5EF4-FFF2-40B4-BE49-F238E27FC236}">
              <a16:creationId xmlns:a16="http://schemas.microsoft.com/office/drawing/2014/main" id="{EFC403DE-4190-4317-BD1D-F7CDD251BA7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6" name="TextBox 1">
          <a:extLst>
            <a:ext uri="{FF2B5EF4-FFF2-40B4-BE49-F238E27FC236}">
              <a16:creationId xmlns:a16="http://schemas.microsoft.com/office/drawing/2014/main" id="{BC59EEF3-210B-4D80-BA23-04B14DA76D9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7A8DA67A-D721-4786-BC97-68DAD70DCBB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46D01B51-6CB5-4738-9F3A-ABD0E816961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09" name="TextBox 1">
          <a:extLst>
            <a:ext uri="{FF2B5EF4-FFF2-40B4-BE49-F238E27FC236}">
              <a16:creationId xmlns:a16="http://schemas.microsoft.com/office/drawing/2014/main" id="{71E98B20-063C-4DAC-84DD-8C74A8FFE8A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0" name="TextBox 1">
          <a:extLst>
            <a:ext uri="{FF2B5EF4-FFF2-40B4-BE49-F238E27FC236}">
              <a16:creationId xmlns:a16="http://schemas.microsoft.com/office/drawing/2014/main" id="{6C226C48-86C6-4B24-8039-301C06ACCDA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4E4EF63D-AA51-433C-8259-45386609DAF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A5E6E347-730C-4D44-9429-A4F8CDD3A94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3" name="TextBox 1">
          <a:extLst>
            <a:ext uri="{FF2B5EF4-FFF2-40B4-BE49-F238E27FC236}">
              <a16:creationId xmlns:a16="http://schemas.microsoft.com/office/drawing/2014/main" id="{341BB710-6C61-4E73-9938-16B8F5B97AF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4" name="TextBox 1">
          <a:extLst>
            <a:ext uri="{FF2B5EF4-FFF2-40B4-BE49-F238E27FC236}">
              <a16:creationId xmlns:a16="http://schemas.microsoft.com/office/drawing/2014/main" id="{BF6D9CE2-AE3D-41BB-A827-5520F5A5D78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A68549B8-1E73-46C4-BCD2-F64CBEED5F1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8FB001ED-7CC1-40DB-AEDC-B7082FF9382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7" name="TextBox 1">
          <a:extLst>
            <a:ext uri="{FF2B5EF4-FFF2-40B4-BE49-F238E27FC236}">
              <a16:creationId xmlns:a16="http://schemas.microsoft.com/office/drawing/2014/main" id="{16F3EF06-3CC7-4CF8-B0AA-C29A47EA779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8" name="TextBox 1">
          <a:extLst>
            <a:ext uri="{FF2B5EF4-FFF2-40B4-BE49-F238E27FC236}">
              <a16:creationId xmlns:a16="http://schemas.microsoft.com/office/drawing/2014/main" id="{F4A771C6-FFA2-4DCE-8DC6-9FC457D3925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CB377D8C-ED5B-4CDB-8A0D-289C908B877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E813B0F1-5206-4753-A944-8B79F32639D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E55AF3D8-1573-4C9F-9E9F-D804F1D0A5A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2" name="TextBox 1">
          <a:extLst>
            <a:ext uri="{FF2B5EF4-FFF2-40B4-BE49-F238E27FC236}">
              <a16:creationId xmlns:a16="http://schemas.microsoft.com/office/drawing/2014/main" id="{A4205556-581C-4B03-9033-F86E5393F10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3" name="TextBox 1">
          <a:extLst>
            <a:ext uri="{FF2B5EF4-FFF2-40B4-BE49-F238E27FC236}">
              <a16:creationId xmlns:a16="http://schemas.microsoft.com/office/drawing/2014/main" id="{8A4D03D0-F498-4CFA-B522-9CF899F0BC5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67BF3C19-BF26-46EB-A51E-DF8B34EBE69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BD8C9764-C805-47B1-9D39-A99A7605A81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6" name="TextBox 1">
          <a:extLst>
            <a:ext uri="{FF2B5EF4-FFF2-40B4-BE49-F238E27FC236}">
              <a16:creationId xmlns:a16="http://schemas.microsoft.com/office/drawing/2014/main" id="{E8628FA7-78E0-4B2F-ACD8-B15C18DA4D0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7" name="TextBox 1">
          <a:extLst>
            <a:ext uri="{FF2B5EF4-FFF2-40B4-BE49-F238E27FC236}">
              <a16:creationId xmlns:a16="http://schemas.microsoft.com/office/drawing/2014/main" id="{1516006F-FEC4-4E79-B5DC-FC2DADD347E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A22F13A2-31FC-4E16-9104-D25D8D252D0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7C451AF6-2FD7-45F3-B373-69F4ED784E9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0" name="TextBox 1">
          <a:extLst>
            <a:ext uri="{FF2B5EF4-FFF2-40B4-BE49-F238E27FC236}">
              <a16:creationId xmlns:a16="http://schemas.microsoft.com/office/drawing/2014/main" id="{C1DB92B6-CA57-4619-B410-225FC5EED04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1" name="TextBox 1">
          <a:extLst>
            <a:ext uri="{FF2B5EF4-FFF2-40B4-BE49-F238E27FC236}">
              <a16:creationId xmlns:a16="http://schemas.microsoft.com/office/drawing/2014/main" id="{057389AC-C104-4137-B1A4-D41374B23F7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81CF1452-0BCD-4EB9-A565-264E1F5C19B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6FB828CC-D85C-4AD4-8933-E402D2C0073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4" name="TextBox 1">
          <a:extLst>
            <a:ext uri="{FF2B5EF4-FFF2-40B4-BE49-F238E27FC236}">
              <a16:creationId xmlns:a16="http://schemas.microsoft.com/office/drawing/2014/main" id="{3C7B06E6-B6FD-4243-9690-AE7207C7211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5" name="TextBox 1">
          <a:extLst>
            <a:ext uri="{FF2B5EF4-FFF2-40B4-BE49-F238E27FC236}">
              <a16:creationId xmlns:a16="http://schemas.microsoft.com/office/drawing/2014/main" id="{E16B136D-CC67-4DBF-B2E3-5E816F3ACFF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C13DAFFD-7846-4165-AD38-E4D35D657E2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ECEBF8FC-40E8-41B8-BCBD-FEEBDF02B6B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8" name="TextBox 1">
          <a:extLst>
            <a:ext uri="{FF2B5EF4-FFF2-40B4-BE49-F238E27FC236}">
              <a16:creationId xmlns:a16="http://schemas.microsoft.com/office/drawing/2014/main" id="{02E2DF80-69E7-4A28-8357-84315BA9293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39" name="TextBox 1">
          <a:extLst>
            <a:ext uri="{FF2B5EF4-FFF2-40B4-BE49-F238E27FC236}">
              <a16:creationId xmlns:a16="http://schemas.microsoft.com/office/drawing/2014/main" id="{0FA7CF05-ACDD-4A11-8840-D7B1166DC32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2A96F331-97ED-43B0-9D03-0969E09EB81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85752CF2-51D6-4004-ABEF-3EBE5D9AC5F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2" name="TextBox 1">
          <a:extLst>
            <a:ext uri="{FF2B5EF4-FFF2-40B4-BE49-F238E27FC236}">
              <a16:creationId xmlns:a16="http://schemas.microsoft.com/office/drawing/2014/main" id="{C5CA09E5-3A65-4C40-BC6F-825A50E8DC9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3" name="TextBox 1">
          <a:extLst>
            <a:ext uri="{FF2B5EF4-FFF2-40B4-BE49-F238E27FC236}">
              <a16:creationId xmlns:a16="http://schemas.microsoft.com/office/drawing/2014/main" id="{9D3206E2-45A0-475A-93AC-EEC01709291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E8B76551-5D3C-459E-A5C1-36815F5DAAF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770F183D-3D00-4561-9EA3-D82BAAE4D26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6" name="TextBox 1">
          <a:extLst>
            <a:ext uri="{FF2B5EF4-FFF2-40B4-BE49-F238E27FC236}">
              <a16:creationId xmlns:a16="http://schemas.microsoft.com/office/drawing/2014/main" id="{F90AFFF5-BE20-4353-82AD-51D7A321967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7" name="TextBox 1">
          <a:extLst>
            <a:ext uri="{FF2B5EF4-FFF2-40B4-BE49-F238E27FC236}">
              <a16:creationId xmlns:a16="http://schemas.microsoft.com/office/drawing/2014/main" id="{D2D62FD7-1283-4B38-8AE2-66BF68CBA9A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498F1C10-1A03-49CF-91B9-74AC7C0B883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D70E3A64-FF2A-4426-8DB9-5FF324BD93B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0" name="TextBox 1">
          <a:extLst>
            <a:ext uri="{FF2B5EF4-FFF2-40B4-BE49-F238E27FC236}">
              <a16:creationId xmlns:a16="http://schemas.microsoft.com/office/drawing/2014/main" id="{55B10E33-6ECA-4031-A4EB-4A615E6B18D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1" name="TextBox 1">
          <a:extLst>
            <a:ext uri="{FF2B5EF4-FFF2-40B4-BE49-F238E27FC236}">
              <a16:creationId xmlns:a16="http://schemas.microsoft.com/office/drawing/2014/main" id="{CECF40D9-1919-430B-BD02-E9ADA5DDB4F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577E9D0F-D52D-4BD6-8969-241D197DC77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94E9C547-D22C-4863-ADA8-CECAB9CD4EB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4" name="TextBox 1">
          <a:extLst>
            <a:ext uri="{FF2B5EF4-FFF2-40B4-BE49-F238E27FC236}">
              <a16:creationId xmlns:a16="http://schemas.microsoft.com/office/drawing/2014/main" id="{87FF3E75-E6ED-4BE1-B755-ECD3AF956AE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5" name="TextBox 1">
          <a:extLst>
            <a:ext uri="{FF2B5EF4-FFF2-40B4-BE49-F238E27FC236}">
              <a16:creationId xmlns:a16="http://schemas.microsoft.com/office/drawing/2014/main" id="{260C434A-4932-40BC-880E-6AC5F3389E2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3C015F1C-5D36-47A8-98C8-7AB09483AB1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2F553BFC-6FCB-4C1A-BCF9-E7DF1F4E2D9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8" name="TextBox 1">
          <a:extLst>
            <a:ext uri="{FF2B5EF4-FFF2-40B4-BE49-F238E27FC236}">
              <a16:creationId xmlns:a16="http://schemas.microsoft.com/office/drawing/2014/main" id="{C7B4830C-8918-4BFE-B87F-69AC0358717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59" name="TextBox 1">
          <a:extLst>
            <a:ext uri="{FF2B5EF4-FFF2-40B4-BE49-F238E27FC236}">
              <a16:creationId xmlns:a16="http://schemas.microsoft.com/office/drawing/2014/main" id="{57D49559-3964-4A46-AADC-4FD3345AFC1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C3A1A810-B679-4C14-9435-A11EAAC89DA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683D1DD1-D298-41D7-B969-03E276255C3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2" name="TextBox 1">
          <a:extLst>
            <a:ext uri="{FF2B5EF4-FFF2-40B4-BE49-F238E27FC236}">
              <a16:creationId xmlns:a16="http://schemas.microsoft.com/office/drawing/2014/main" id="{2419B042-8EB7-42A4-A3AB-1B9044CDC5E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3" name="TextBox 1">
          <a:extLst>
            <a:ext uri="{FF2B5EF4-FFF2-40B4-BE49-F238E27FC236}">
              <a16:creationId xmlns:a16="http://schemas.microsoft.com/office/drawing/2014/main" id="{ACA61045-9D75-4E80-9C8C-0494D184B8F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AC84E6C5-6A88-4C58-BD07-35268D2DAFB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881194C3-A171-4358-B955-EC10297A384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748421B4-BC22-4F25-8B10-6EEC1D3722B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7" name="TextBox 1">
          <a:extLst>
            <a:ext uri="{FF2B5EF4-FFF2-40B4-BE49-F238E27FC236}">
              <a16:creationId xmlns:a16="http://schemas.microsoft.com/office/drawing/2014/main" id="{594A4AB5-D0D9-4EED-8C12-A84F1FE84D0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8" name="TextBox 1">
          <a:extLst>
            <a:ext uri="{FF2B5EF4-FFF2-40B4-BE49-F238E27FC236}">
              <a16:creationId xmlns:a16="http://schemas.microsoft.com/office/drawing/2014/main" id="{F5D9CDEE-B32C-4F6C-AF32-79A0C5CB8E9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E6D29AB6-0875-4F71-A08E-4F630AD29D3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97DD26F9-05F8-4896-BCA6-1BE37C1E4E3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1" name="TextBox 1">
          <a:extLst>
            <a:ext uri="{FF2B5EF4-FFF2-40B4-BE49-F238E27FC236}">
              <a16:creationId xmlns:a16="http://schemas.microsoft.com/office/drawing/2014/main" id="{242DB9E1-04FF-4141-B900-505BA892DF2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2" name="TextBox 1">
          <a:extLst>
            <a:ext uri="{FF2B5EF4-FFF2-40B4-BE49-F238E27FC236}">
              <a16:creationId xmlns:a16="http://schemas.microsoft.com/office/drawing/2014/main" id="{C379B29C-B48F-4681-A47D-4354B64DA00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4A69AB0F-9117-49D8-AD3D-2E573CEADC0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BB7AE535-D5FE-4862-A41A-D486D71F742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5" name="TextBox 1">
          <a:extLst>
            <a:ext uri="{FF2B5EF4-FFF2-40B4-BE49-F238E27FC236}">
              <a16:creationId xmlns:a16="http://schemas.microsoft.com/office/drawing/2014/main" id="{E40D2442-0F36-4E7E-BB5E-441DFB62298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6" name="TextBox 1">
          <a:extLst>
            <a:ext uri="{FF2B5EF4-FFF2-40B4-BE49-F238E27FC236}">
              <a16:creationId xmlns:a16="http://schemas.microsoft.com/office/drawing/2014/main" id="{52560273-AE38-428C-BE26-B8AF9E92615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32BD7E55-EF8B-4D48-B8C0-F6FB856D367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1C69CD9D-79A5-4034-97F0-F745E6C5A31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79" name="TextBox 1">
          <a:extLst>
            <a:ext uri="{FF2B5EF4-FFF2-40B4-BE49-F238E27FC236}">
              <a16:creationId xmlns:a16="http://schemas.microsoft.com/office/drawing/2014/main" id="{A8E9E184-9C50-40B9-89B7-EBC47E7130C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0" name="TextBox 1">
          <a:extLst>
            <a:ext uri="{FF2B5EF4-FFF2-40B4-BE49-F238E27FC236}">
              <a16:creationId xmlns:a16="http://schemas.microsoft.com/office/drawing/2014/main" id="{123231B7-C8F6-45D7-85B0-4AD604D7FE9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4B778382-97ED-4A5C-8179-779911C12C6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89258126-1021-43D2-B797-DCA1768F8F0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3" name="TextBox 1">
          <a:extLst>
            <a:ext uri="{FF2B5EF4-FFF2-40B4-BE49-F238E27FC236}">
              <a16:creationId xmlns:a16="http://schemas.microsoft.com/office/drawing/2014/main" id="{1FE98845-36F0-428F-98BE-64568039BCA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4" name="TextBox 1">
          <a:extLst>
            <a:ext uri="{FF2B5EF4-FFF2-40B4-BE49-F238E27FC236}">
              <a16:creationId xmlns:a16="http://schemas.microsoft.com/office/drawing/2014/main" id="{5D16A4A3-ACEE-4E6A-8E40-155F22EBC00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F2387F26-00B2-48A0-A8C1-E8C233E2DD9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E2682733-78D4-4697-A5D1-B9B71963FB1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7" name="TextBox 1">
          <a:extLst>
            <a:ext uri="{FF2B5EF4-FFF2-40B4-BE49-F238E27FC236}">
              <a16:creationId xmlns:a16="http://schemas.microsoft.com/office/drawing/2014/main" id="{75BFED26-EFAF-4172-967F-40671A6095A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8" name="TextBox 1">
          <a:extLst>
            <a:ext uri="{FF2B5EF4-FFF2-40B4-BE49-F238E27FC236}">
              <a16:creationId xmlns:a16="http://schemas.microsoft.com/office/drawing/2014/main" id="{53F16972-8560-47E2-A112-80C65ED3E63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C8498C9F-A5A9-4ED6-85F6-CA6CF4EBCFA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69F251F1-3714-445C-A02B-FCB5B07505E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1" name="TextBox 1">
          <a:extLst>
            <a:ext uri="{FF2B5EF4-FFF2-40B4-BE49-F238E27FC236}">
              <a16:creationId xmlns:a16="http://schemas.microsoft.com/office/drawing/2014/main" id="{7F2FB8BB-A412-4D2A-847F-9F63B64958A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2" name="TextBox 1">
          <a:extLst>
            <a:ext uri="{FF2B5EF4-FFF2-40B4-BE49-F238E27FC236}">
              <a16:creationId xmlns:a16="http://schemas.microsoft.com/office/drawing/2014/main" id="{E09241E2-870A-4C9E-ACFB-0E5EBC012EE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57E36DD4-198F-4EA6-BF86-05DEA2FBE23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3722BCB3-DEE7-49C7-803F-83BC3916912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5" name="TextBox 1">
          <a:extLst>
            <a:ext uri="{FF2B5EF4-FFF2-40B4-BE49-F238E27FC236}">
              <a16:creationId xmlns:a16="http://schemas.microsoft.com/office/drawing/2014/main" id="{94625F55-25E7-46F7-9CD4-5591A9C849A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6" name="TextBox 1">
          <a:extLst>
            <a:ext uri="{FF2B5EF4-FFF2-40B4-BE49-F238E27FC236}">
              <a16:creationId xmlns:a16="http://schemas.microsoft.com/office/drawing/2014/main" id="{A8A673E8-FD73-4E24-91EA-1E77D5E66DE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691D32FB-9D0E-42AD-AB17-B029A60C733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EA75348C-465C-41DA-8C0E-3D0312AE545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699" name="TextBox 1">
          <a:extLst>
            <a:ext uri="{FF2B5EF4-FFF2-40B4-BE49-F238E27FC236}">
              <a16:creationId xmlns:a16="http://schemas.microsoft.com/office/drawing/2014/main" id="{3EB6D5E1-B828-4C4F-B04E-DEB54F05379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0" name="TextBox 1">
          <a:extLst>
            <a:ext uri="{FF2B5EF4-FFF2-40B4-BE49-F238E27FC236}">
              <a16:creationId xmlns:a16="http://schemas.microsoft.com/office/drawing/2014/main" id="{06B8BA14-2D10-4493-B67A-C0FF9CF3C04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BE492DE8-837F-44C4-8538-5BB84FA45DF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2" name="TextBox 1">
          <a:extLst>
            <a:ext uri="{FF2B5EF4-FFF2-40B4-BE49-F238E27FC236}">
              <a16:creationId xmlns:a16="http://schemas.microsoft.com/office/drawing/2014/main" id="{D0DC5D22-A68E-48F7-BB65-AB933E8B485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3" name="TextBox 1">
          <a:extLst>
            <a:ext uri="{FF2B5EF4-FFF2-40B4-BE49-F238E27FC236}">
              <a16:creationId xmlns:a16="http://schemas.microsoft.com/office/drawing/2014/main" id="{E132883A-C7DD-49EC-9A03-2470842F5CC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A6556602-9630-495E-B6DF-51525635FDC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5" name="TextBox 1">
          <a:extLst>
            <a:ext uri="{FF2B5EF4-FFF2-40B4-BE49-F238E27FC236}">
              <a16:creationId xmlns:a16="http://schemas.microsoft.com/office/drawing/2014/main" id="{4FA25348-BD27-4454-8132-531100F9F83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D34ED990-A1F3-4163-8675-58498699CDC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7" name="TextBox 1">
          <a:extLst>
            <a:ext uri="{FF2B5EF4-FFF2-40B4-BE49-F238E27FC236}">
              <a16:creationId xmlns:a16="http://schemas.microsoft.com/office/drawing/2014/main" id="{5E0E47A8-1468-4ECC-A288-BB2D37357DA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8" name="TextBox 1">
          <a:extLst>
            <a:ext uri="{FF2B5EF4-FFF2-40B4-BE49-F238E27FC236}">
              <a16:creationId xmlns:a16="http://schemas.microsoft.com/office/drawing/2014/main" id="{336A80D2-4CD5-4D47-AD31-6C615506DA1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7796F672-B4D1-40C8-8FBA-12B87D383C2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4A56D318-927A-43DB-8B33-FCE04938FCF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1" name="TextBox 1">
          <a:extLst>
            <a:ext uri="{FF2B5EF4-FFF2-40B4-BE49-F238E27FC236}">
              <a16:creationId xmlns:a16="http://schemas.microsoft.com/office/drawing/2014/main" id="{F3269DA5-292A-4B2A-A57A-602CE4A7470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2" name="TextBox 1">
          <a:extLst>
            <a:ext uri="{FF2B5EF4-FFF2-40B4-BE49-F238E27FC236}">
              <a16:creationId xmlns:a16="http://schemas.microsoft.com/office/drawing/2014/main" id="{6A2C3059-45DE-4964-8CE7-8BD97A58434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B17A2ED8-49A7-4158-8A6E-D44B8441813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64B3B9BE-ABB6-4F0F-8FC6-E331E7B0384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55FB15A2-8EA5-4D93-95BF-FF9603C16C8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6" name="TextBox 1">
          <a:extLst>
            <a:ext uri="{FF2B5EF4-FFF2-40B4-BE49-F238E27FC236}">
              <a16:creationId xmlns:a16="http://schemas.microsoft.com/office/drawing/2014/main" id="{623955B4-046F-4D5B-B269-FE1B18D99C9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7" name="TextBox 1">
          <a:extLst>
            <a:ext uri="{FF2B5EF4-FFF2-40B4-BE49-F238E27FC236}">
              <a16:creationId xmlns:a16="http://schemas.microsoft.com/office/drawing/2014/main" id="{44CBFAC5-E48E-4FAB-947D-BE2FABDB42A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85A7D20D-16A9-4E1F-9B3F-7696AE22172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628C281D-3091-4480-91BB-429B10FDF86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0" name="TextBox 1">
          <a:extLst>
            <a:ext uri="{FF2B5EF4-FFF2-40B4-BE49-F238E27FC236}">
              <a16:creationId xmlns:a16="http://schemas.microsoft.com/office/drawing/2014/main" id="{A1CDB631-4F63-4FE6-BBEE-E5F70D6016D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1" name="TextBox 1">
          <a:extLst>
            <a:ext uri="{FF2B5EF4-FFF2-40B4-BE49-F238E27FC236}">
              <a16:creationId xmlns:a16="http://schemas.microsoft.com/office/drawing/2014/main" id="{CB1EA02F-88A0-4D82-9184-F721C042BAE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CA6C49BB-6688-4236-AE29-DA46FA715DA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54A5CCD3-4C96-41B6-A7A5-4918D06DC7C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4" name="TextBox 1">
          <a:extLst>
            <a:ext uri="{FF2B5EF4-FFF2-40B4-BE49-F238E27FC236}">
              <a16:creationId xmlns:a16="http://schemas.microsoft.com/office/drawing/2014/main" id="{DF15FCD6-47B3-45A7-9301-91B8B5E36AF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5" name="TextBox 1">
          <a:extLst>
            <a:ext uri="{FF2B5EF4-FFF2-40B4-BE49-F238E27FC236}">
              <a16:creationId xmlns:a16="http://schemas.microsoft.com/office/drawing/2014/main" id="{26F5798D-AEDC-4AB5-B6A7-BB17EC49BED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ECBEC23B-8AEF-4BF5-8A82-8A1B83563DE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EE070ED2-282A-452E-A921-14466AF52C4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8" name="TextBox 1">
          <a:extLst>
            <a:ext uri="{FF2B5EF4-FFF2-40B4-BE49-F238E27FC236}">
              <a16:creationId xmlns:a16="http://schemas.microsoft.com/office/drawing/2014/main" id="{94B33FB8-AECD-41C2-B8A8-083CE4F4FFC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29" name="TextBox 1">
          <a:extLst>
            <a:ext uri="{FF2B5EF4-FFF2-40B4-BE49-F238E27FC236}">
              <a16:creationId xmlns:a16="http://schemas.microsoft.com/office/drawing/2014/main" id="{C6730630-F41A-4C53-A388-88BC4B478D3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A7159F82-90A9-4263-9B8C-E3FF74872FA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0AFE270A-BDA9-43A3-A6ED-62B689F3BED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2" name="TextBox 1">
          <a:extLst>
            <a:ext uri="{FF2B5EF4-FFF2-40B4-BE49-F238E27FC236}">
              <a16:creationId xmlns:a16="http://schemas.microsoft.com/office/drawing/2014/main" id="{04F54BD4-82F6-4ADA-8212-8915DDD95A5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3" name="TextBox 1">
          <a:extLst>
            <a:ext uri="{FF2B5EF4-FFF2-40B4-BE49-F238E27FC236}">
              <a16:creationId xmlns:a16="http://schemas.microsoft.com/office/drawing/2014/main" id="{343FD3EC-FBBA-45DE-8161-824E326CEB6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889A3928-20A6-43A1-A253-263041A14F1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E411DEC2-6759-487E-AECA-5D71D1A00DE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6" name="TextBox 1">
          <a:extLst>
            <a:ext uri="{FF2B5EF4-FFF2-40B4-BE49-F238E27FC236}">
              <a16:creationId xmlns:a16="http://schemas.microsoft.com/office/drawing/2014/main" id="{25F2C71B-274B-4526-821F-1478FB9F198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7" name="TextBox 1">
          <a:extLst>
            <a:ext uri="{FF2B5EF4-FFF2-40B4-BE49-F238E27FC236}">
              <a16:creationId xmlns:a16="http://schemas.microsoft.com/office/drawing/2014/main" id="{5B2DF849-063D-487C-AF60-C28E6351DEA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2AA60FFC-2ECF-4CBC-9A9F-35AE7F6DEC8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8A84AF2E-8960-4D3C-BF0F-6B96E6A8237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0" name="TextBox 1">
          <a:extLst>
            <a:ext uri="{FF2B5EF4-FFF2-40B4-BE49-F238E27FC236}">
              <a16:creationId xmlns:a16="http://schemas.microsoft.com/office/drawing/2014/main" id="{03E5E793-92F8-4313-9595-3AFE47ACD20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1" name="TextBox 1">
          <a:extLst>
            <a:ext uri="{FF2B5EF4-FFF2-40B4-BE49-F238E27FC236}">
              <a16:creationId xmlns:a16="http://schemas.microsoft.com/office/drawing/2014/main" id="{012D183B-C1D3-4991-BBDB-5F80CC082B3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454A21D3-B56C-41D3-BB2C-7D5611EE8FB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FB106902-8132-4329-BFC4-F615A1D78B5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4" name="TextBox 1">
          <a:extLst>
            <a:ext uri="{FF2B5EF4-FFF2-40B4-BE49-F238E27FC236}">
              <a16:creationId xmlns:a16="http://schemas.microsoft.com/office/drawing/2014/main" id="{28567581-6302-41C7-A514-F39D8D8E4E0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5" name="TextBox 1">
          <a:extLst>
            <a:ext uri="{FF2B5EF4-FFF2-40B4-BE49-F238E27FC236}">
              <a16:creationId xmlns:a16="http://schemas.microsoft.com/office/drawing/2014/main" id="{FECCDCD1-F6AD-4C84-9EEB-FAC07567B10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BE6976F4-A72C-41AD-BD8A-7419827B7EE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A4914860-6D88-42A5-8E81-10905643D78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8" name="TextBox 1">
          <a:extLst>
            <a:ext uri="{FF2B5EF4-FFF2-40B4-BE49-F238E27FC236}">
              <a16:creationId xmlns:a16="http://schemas.microsoft.com/office/drawing/2014/main" id="{EE199384-1706-4EBF-91A4-94193368893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49" name="TextBox 1">
          <a:extLst>
            <a:ext uri="{FF2B5EF4-FFF2-40B4-BE49-F238E27FC236}">
              <a16:creationId xmlns:a16="http://schemas.microsoft.com/office/drawing/2014/main" id="{FE8285F4-8B7C-48DF-9DDC-7D08590D302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151ECC44-5960-4791-A85A-F19DB34EED4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90EB461A-5C30-4048-BDBD-52E44884686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27A6B448-85AC-4F00-B9F9-82BB64E21C7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3" name="TextBox 1">
          <a:extLst>
            <a:ext uri="{FF2B5EF4-FFF2-40B4-BE49-F238E27FC236}">
              <a16:creationId xmlns:a16="http://schemas.microsoft.com/office/drawing/2014/main" id="{E9EE5FFB-6A18-4AF0-BD39-93AD147440D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4" name="TextBox 1">
          <a:extLst>
            <a:ext uri="{FF2B5EF4-FFF2-40B4-BE49-F238E27FC236}">
              <a16:creationId xmlns:a16="http://schemas.microsoft.com/office/drawing/2014/main" id="{E850C142-C3B0-4EA1-B8DF-CB28E6D53E9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D4BDA4AB-63A5-4BD9-B8E0-F6BADEBFF0F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5906B59F-3DA2-4A1F-A330-01C907F8B93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7" name="TextBox 1">
          <a:extLst>
            <a:ext uri="{FF2B5EF4-FFF2-40B4-BE49-F238E27FC236}">
              <a16:creationId xmlns:a16="http://schemas.microsoft.com/office/drawing/2014/main" id="{F330DA4C-AB24-4D83-8343-1ED5E6F0157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8" name="TextBox 1">
          <a:extLst>
            <a:ext uri="{FF2B5EF4-FFF2-40B4-BE49-F238E27FC236}">
              <a16:creationId xmlns:a16="http://schemas.microsoft.com/office/drawing/2014/main" id="{4E067B21-B641-4736-82D2-12E35DA4955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BB23CC56-6F4D-4DE3-9278-C9951B738E2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256CEEEE-7950-4CDB-8E11-3D6A4CC5E47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1" name="TextBox 1">
          <a:extLst>
            <a:ext uri="{FF2B5EF4-FFF2-40B4-BE49-F238E27FC236}">
              <a16:creationId xmlns:a16="http://schemas.microsoft.com/office/drawing/2014/main" id="{2CAA14C6-DD2A-4432-A6E2-070208FAF40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2" name="TextBox 1">
          <a:extLst>
            <a:ext uri="{FF2B5EF4-FFF2-40B4-BE49-F238E27FC236}">
              <a16:creationId xmlns:a16="http://schemas.microsoft.com/office/drawing/2014/main" id="{9760963E-1A65-46BF-A9F5-BA14E4475E8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C29A3615-B4AE-4A8A-8EBA-1AD2D326EE7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A179A9C6-A758-4026-B396-5EF0AFD5A6C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5" name="TextBox 1">
          <a:extLst>
            <a:ext uri="{FF2B5EF4-FFF2-40B4-BE49-F238E27FC236}">
              <a16:creationId xmlns:a16="http://schemas.microsoft.com/office/drawing/2014/main" id="{124BA8BF-6F77-4571-A018-6F66FBEEA58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6" name="TextBox 1">
          <a:extLst>
            <a:ext uri="{FF2B5EF4-FFF2-40B4-BE49-F238E27FC236}">
              <a16:creationId xmlns:a16="http://schemas.microsoft.com/office/drawing/2014/main" id="{34FA0276-955F-4683-B850-5410750810D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9C2D4C0D-DC04-45F6-8522-896A68651FC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51D9793D-D224-4154-9DCD-ACF01F9A5CD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69" name="TextBox 1">
          <a:extLst>
            <a:ext uri="{FF2B5EF4-FFF2-40B4-BE49-F238E27FC236}">
              <a16:creationId xmlns:a16="http://schemas.microsoft.com/office/drawing/2014/main" id="{A10706D5-0769-4344-881C-35AF37282C8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0" name="TextBox 1">
          <a:extLst>
            <a:ext uri="{FF2B5EF4-FFF2-40B4-BE49-F238E27FC236}">
              <a16:creationId xmlns:a16="http://schemas.microsoft.com/office/drawing/2014/main" id="{DF4DBC30-9418-4D6B-852D-9B5D947E674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A7F92378-7878-47C7-836A-84D90F0EE37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6DB94682-ADF1-4C8D-A443-F62A52137AA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3" name="TextBox 1">
          <a:extLst>
            <a:ext uri="{FF2B5EF4-FFF2-40B4-BE49-F238E27FC236}">
              <a16:creationId xmlns:a16="http://schemas.microsoft.com/office/drawing/2014/main" id="{B48DFFF3-BB37-4EFE-A48D-81BC4AF6618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4" name="TextBox 1">
          <a:extLst>
            <a:ext uri="{FF2B5EF4-FFF2-40B4-BE49-F238E27FC236}">
              <a16:creationId xmlns:a16="http://schemas.microsoft.com/office/drawing/2014/main" id="{6F3A2A4A-BEC0-43A9-A78A-4E5DC31560B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96498126-2468-465E-A60E-F639AE43413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3332EE83-8AA8-4D57-9BFA-6E6C2C8398A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7" name="TextBox 1">
          <a:extLst>
            <a:ext uri="{FF2B5EF4-FFF2-40B4-BE49-F238E27FC236}">
              <a16:creationId xmlns:a16="http://schemas.microsoft.com/office/drawing/2014/main" id="{ABEFED4E-A01D-4648-B100-DF7C64AE9B2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8" name="TextBox 1">
          <a:extLst>
            <a:ext uri="{FF2B5EF4-FFF2-40B4-BE49-F238E27FC236}">
              <a16:creationId xmlns:a16="http://schemas.microsoft.com/office/drawing/2014/main" id="{34F2BAF4-51A9-4990-850B-2D5A3446B21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8D77EF8E-0199-4432-8362-D0D244DD748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86C84DE7-BD1B-43D8-AF61-8E0629687B4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1" name="TextBox 1">
          <a:extLst>
            <a:ext uri="{FF2B5EF4-FFF2-40B4-BE49-F238E27FC236}">
              <a16:creationId xmlns:a16="http://schemas.microsoft.com/office/drawing/2014/main" id="{AE98B013-732C-46F0-8FDD-7B4FBC9895A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2" name="TextBox 1">
          <a:extLst>
            <a:ext uri="{FF2B5EF4-FFF2-40B4-BE49-F238E27FC236}">
              <a16:creationId xmlns:a16="http://schemas.microsoft.com/office/drawing/2014/main" id="{CFCEC856-57E5-4BC2-8A98-D596A874D53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CA62B142-354E-469C-BB2C-DFE6769B81F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E2045A95-F6CE-4EEA-B6B4-EDFC2125401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5" name="TextBox 1">
          <a:extLst>
            <a:ext uri="{FF2B5EF4-FFF2-40B4-BE49-F238E27FC236}">
              <a16:creationId xmlns:a16="http://schemas.microsoft.com/office/drawing/2014/main" id="{8990DD52-170B-4715-82E7-836AC40F794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6" name="TextBox 1">
          <a:extLst>
            <a:ext uri="{FF2B5EF4-FFF2-40B4-BE49-F238E27FC236}">
              <a16:creationId xmlns:a16="http://schemas.microsoft.com/office/drawing/2014/main" id="{22CD790B-9FD4-4C3C-B34E-C613F0F4E58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ADE59140-E9C1-4D28-993E-46166142DE7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ADFF5851-F6A0-4413-AE64-891BE8C222B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89" name="TextBox 1">
          <a:extLst>
            <a:ext uri="{FF2B5EF4-FFF2-40B4-BE49-F238E27FC236}">
              <a16:creationId xmlns:a16="http://schemas.microsoft.com/office/drawing/2014/main" id="{06FC3D84-27E9-411B-BC96-DB962D5C803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0" name="TextBox 1">
          <a:extLst>
            <a:ext uri="{FF2B5EF4-FFF2-40B4-BE49-F238E27FC236}">
              <a16:creationId xmlns:a16="http://schemas.microsoft.com/office/drawing/2014/main" id="{95490EB7-097D-47EA-9841-CB022EA9D5A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65FAD7CF-07B0-4B74-A9D3-F11BF4534A9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4639A3F9-114B-435F-A323-1CE362F15F0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3" name="TextBox 1">
          <a:extLst>
            <a:ext uri="{FF2B5EF4-FFF2-40B4-BE49-F238E27FC236}">
              <a16:creationId xmlns:a16="http://schemas.microsoft.com/office/drawing/2014/main" id="{F2A4E90B-6F53-4A24-83D1-A9F43F587A7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4" name="TextBox 1">
          <a:extLst>
            <a:ext uri="{FF2B5EF4-FFF2-40B4-BE49-F238E27FC236}">
              <a16:creationId xmlns:a16="http://schemas.microsoft.com/office/drawing/2014/main" id="{9197BA45-B186-49D4-9757-8F140A10F3F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3834D6D7-75D5-40C7-8A6C-B87BCC48497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5FFFBB2E-8A24-4AA1-A64C-6CED2930944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268B47B8-AB2B-4779-95D5-DB5C7A8D864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8" name="TextBox 1">
          <a:extLst>
            <a:ext uri="{FF2B5EF4-FFF2-40B4-BE49-F238E27FC236}">
              <a16:creationId xmlns:a16="http://schemas.microsoft.com/office/drawing/2014/main" id="{1ED3E233-368B-47AA-877B-C5AA9D2500B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799" name="TextBox 1">
          <a:extLst>
            <a:ext uri="{FF2B5EF4-FFF2-40B4-BE49-F238E27FC236}">
              <a16:creationId xmlns:a16="http://schemas.microsoft.com/office/drawing/2014/main" id="{BDDDA747-0233-4A37-ADF3-E5558110888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2C02E9EB-3ACE-4F73-A5BA-7F875DF7B52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ECAFB679-2B17-4D83-805D-AC82E87C28F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2" name="TextBox 1">
          <a:extLst>
            <a:ext uri="{FF2B5EF4-FFF2-40B4-BE49-F238E27FC236}">
              <a16:creationId xmlns:a16="http://schemas.microsoft.com/office/drawing/2014/main" id="{C394A61B-E80F-4F4C-B003-DBE9DD87A25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3" name="TextBox 1">
          <a:extLst>
            <a:ext uri="{FF2B5EF4-FFF2-40B4-BE49-F238E27FC236}">
              <a16:creationId xmlns:a16="http://schemas.microsoft.com/office/drawing/2014/main" id="{FCAE49AC-13C6-45A0-9D43-084FD58EFB2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3A40CF9E-3C4C-47BD-9A04-DCBBE5A379E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6705AF8A-86B9-48B0-95DC-0E91D2A12FF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6" name="TextBox 1">
          <a:extLst>
            <a:ext uri="{FF2B5EF4-FFF2-40B4-BE49-F238E27FC236}">
              <a16:creationId xmlns:a16="http://schemas.microsoft.com/office/drawing/2014/main" id="{C61D8C78-CF84-4531-80C5-80008ABDF51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7" name="TextBox 1">
          <a:extLst>
            <a:ext uri="{FF2B5EF4-FFF2-40B4-BE49-F238E27FC236}">
              <a16:creationId xmlns:a16="http://schemas.microsoft.com/office/drawing/2014/main" id="{07249E3D-4144-4D2F-8244-DC394E4ED20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4EF8F73E-FF64-47E2-8EA5-9C674D0EF69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74451E79-CEC7-46C7-888A-CDF496A6358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0" name="TextBox 1">
          <a:extLst>
            <a:ext uri="{FF2B5EF4-FFF2-40B4-BE49-F238E27FC236}">
              <a16:creationId xmlns:a16="http://schemas.microsoft.com/office/drawing/2014/main" id="{4979CAE9-4DE8-40DD-92BC-63A903D7FCA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1" name="TextBox 1">
          <a:extLst>
            <a:ext uri="{FF2B5EF4-FFF2-40B4-BE49-F238E27FC236}">
              <a16:creationId xmlns:a16="http://schemas.microsoft.com/office/drawing/2014/main" id="{2A1299FB-BCD8-4800-9E6A-F6E5A6468A4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8390F5E7-FCFC-436E-8481-939C9D9DE3E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F1568E7F-B4EA-4538-B479-7437AC82E0B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4" name="TextBox 1">
          <a:extLst>
            <a:ext uri="{FF2B5EF4-FFF2-40B4-BE49-F238E27FC236}">
              <a16:creationId xmlns:a16="http://schemas.microsoft.com/office/drawing/2014/main" id="{A4B302F0-19E5-41F2-8C5E-875133FB700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5" name="TextBox 1">
          <a:extLst>
            <a:ext uri="{FF2B5EF4-FFF2-40B4-BE49-F238E27FC236}">
              <a16:creationId xmlns:a16="http://schemas.microsoft.com/office/drawing/2014/main" id="{6A03578B-1CA7-4D73-83E5-EC5CD0F990F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649C4D02-948D-4043-8E36-FFAFE626614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68A9A9F1-B700-49AF-8AE2-E33A2246FDB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8" name="TextBox 1">
          <a:extLst>
            <a:ext uri="{FF2B5EF4-FFF2-40B4-BE49-F238E27FC236}">
              <a16:creationId xmlns:a16="http://schemas.microsoft.com/office/drawing/2014/main" id="{95926BD9-BF85-46B8-A847-7759463A222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19" name="TextBox 1">
          <a:extLst>
            <a:ext uri="{FF2B5EF4-FFF2-40B4-BE49-F238E27FC236}">
              <a16:creationId xmlns:a16="http://schemas.microsoft.com/office/drawing/2014/main" id="{BBD088AB-D8E2-447E-A879-DA7887AA1B7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09C72780-9F2C-4ED7-9C72-B2BED71301A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282DA26E-488A-4205-9AE5-A62E2C81D4F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2" name="TextBox 1">
          <a:extLst>
            <a:ext uri="{FF2B5EF4-FFF2-40B4-BE49-F238E27FC236}">
              <a16:creationId xmlns:a16="http://schemas.microsoft.com/office/drawing/2014/main" id="{48471BA8-BF05-4F9A-BE73-B07BA139E44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3" name="TextBox 1">
          <a:extLst>
            <a:ext uri="{FF2B5EF4-FFF2-40B4-BE49-F238E27FC236}">
              <a16:creationId xmlns:a16="http://schemas.microsoft.com/office/drawing/2014/main" id="{D7FF917C-7164-4D50-AFD1-8BE0BC6E69F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4CCB21A8-2D8E-4A68-B2B3-03E79BB5CFF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37F3AD3C-4F58-48DE-A8E5-C975546F7FF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6" name="TextBox 1">
          <a:extLst>
            <a:ext uri="{FF2B5EF4-FFF2-40B4-BE49-F238E27FC236}">
              <a16:creationId xmlns:a16="http://schemas.microsoft.com/office/drawing/2014/main" id="{5EFC27C7-4E5B-4229-AEFB-4DA24C77AE2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7" name="TextBox 1">
          <a:extLst>
            <a:ext uri="{FF2B5EF4-FFF2-40B4-BE49-F238E27FC236}">
              <a16:creationId xmlns:a16="http://schemas.microsoft.com/office/drawing/2014/main" id="{2CD7C908-E846-42E0-B63D-2ECF7A9A1AA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78964FEE-6CE4-4DCB-B095-A310FBAB1B2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D053ED59-BF3E-49C4-9376-22CCEDC0C4E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0" name="TextBox 1">
          <a:extLst>
            <a:ext uri="{FF2B5EF4-FFF2-40B4-BE49-F238E27FC236}">
              <a16:creationId xmlns:a16="http://schemas.microsoft.com/office/drawing/2014/main" id="{8DD6541F-1064-4A16-AEF5-1E6C335F7C9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1" name="TextBox 1">
          <a:extLst>
            <a:ext uri="{FF2B5EF4-FFF2-40B4-BE49-F238E27FC236}">
              <a16:creationId xmlns:a16="http://schemas.microsoft.com/office/drawing/2014/main" id="{B2C1E011-F008-4F53-8E54-EAC5581A9EF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9423821C-4280-4845-9361-40D65BA2636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3" name="TextBox 1">
          <a:extLst>
            <a:ext uri="{FF2B5EF4-FFF2-40B4-BE49-F238E27FC236}">
              <a16:creationId xmlns:a16="http://schemas.microsoft.com/office/drawing/2014/main" id="{24AC3A0A-BA7C-4339-938D-F520770F624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4" name="TextBox 1">
          <a:extLst>
            <a:ext uri="{FF2B5EF4-FFF2-40B4-BE49-F238E27FC236}">
              <a16:creationId xmlns:a16="http://schemas.microsoft.com/office/drawing/2014/main" id="{4A3562A8-B255-4D98-9202-6ECEE8C5D00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66D46887-57E4-43B2-BBF4-9BF69996DD2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6" name="TextBox 1">
          <a:extLst>
            <a:ext uri="{FF2B5EF4-FFF2-40B4-BE49-F238E27FC236}">
              <a16:creationId xmlns:a16="http://schemas.microsoft.com/office/drawing/2014/main" id="{E258AA7E-1D7D-430C-8140-CCCF74C51BD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21E0460A-01FF-4698-A7A0-04B2B2CD944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8" name="TextBox 1">
          <a:extLst>
            <a:ext uri="{FF2B5EF4-FFF2-40B4-BE49-F238E27FC236}">
              <a16:creationId xmlns:a16="http://schemas.microsoft.com/office/drawing/2014/main" id="{A92A69E1-2D77-4A64-B391-BDA122EAD7B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39" name="TextBox 1">
          <a:extLst>
            <a:ext uri="{FF2B5EF4-FFF2-40B4-BE49-F238E27FC236}">
              <a16:creationId xmlns:a16="http://schemas.microsoft.com/office/drawing/2014/main" id="{9189E307-4713-4A1E-9234-7B85A096CC4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2B2D0126-3E60-4612-AB2D-BAFE62C19A7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FED03436-B8F4-41BA-95D4-2342F6FCF82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2" name="TextBox 1">
          <a:extLst>
            <a:ext uri="{FF2B5EF4-FFF2-40B4-BE49-F238E27FC236}">
              <a16:creationId xmlns:a16="http://schemas.microsoft.com/office/drawing/2014/main" id="{DA3A60A8-541F-4635-B297-7C33403A170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3" name="TextBox 1">
          <a:extLst>
            <a:ext uri="{FF2B5EF4-FFF2-40B4-BE49-F238E27FC236}">
              <a16:creationId xmlns:a16="http://schemas.microsoft.com/office/drawing/2014/main" id="{4A49B92F-CB48-46AD-BB20-64EE8E4B35B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BE072F54-95F8-4460-9DDE-83F7E22D77E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4D4B87C3-9B0E-4B4B-8F67-D8D3A4169DC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7C24B36D-CFD8-41B3-AE6B-3895FDD3D2C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7" name="TextBox 1">
          <a:extLst>
            <a:ext uri="{FF2B5EF4-FFF2-40B4-BE49-F238E27FC236}">
              <a16:creationId xmlns:a16="http://schemas.microsoft.com/office/drawing/2014/main" id="{CA0FF59F-08F1-4ADA-9CE8-A2E334938BB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8" name="TextBox 1">
          <a:extLst>
            <a:ext uri="{FF2B5EF4-FFF2-40B4-BE49-F238E27FC236}">
              <a16:creationId xmlns:a16="http://schemas.microsoft.com/office/drawing/2014/main" id="{D85F546F-BDDC-40FF-85C0-159B388F1F9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506B13DF-8A54-446F-9B11-DF84C5276FD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92FB200C-7FDC-4767-BB86-624B7755A12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1" name="TextBox 1">
          <a:extLst>
            <a:ext uri="{FF2B5EF4-FFF2-40B4-BE49-F238E27FC236}">
              <a16:creationId xmlns:a16="http://schemas.microsoft.com/office/drawing/2014/main" id="{22E514AB-E601-4439-8158-2A640A19412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2" name="TextBox 1">
          <a:extLst>
            <a:ext uri="{FF2B5EF4-FFF2-40B4-BE49-F238E27FC236}">
              <a16:creationId xmlns:a16="http://schemas.microsoft.com/office/drawing/2014/main" id="{671B7BFC-0C9F-4488-A689-D1DDB6D1E67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3DD4C938-6C9F-4D8B-AF9E-906E0EB1289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9DECAA0A-A2FA-44A9-866B-8DE2886A54F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5" name="TextBox 1">
          <a:extLst>
            <a:ext uri="{FF2B5EF4-FFF2-40B4-BE49-F238E27FC236}">
              <a16:creationId xmlns:a16="http://schemas.microsoft.com/office/drawing/2014/main" id="{7591E155-4520-4EFC-B4D0-111BDF37097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6" name="TextBox 1">
          <a:extLst>
            <a:ext uri="{FF2B5EF4-FFF2-40B4-BE49-F238E27FC236}">
              <a16:creationId xmlns:a16="http://schemas.microsoft.com/office/drawing/2014/main" id="{2B6E79FF-CB7A-4E64-B505-51B4E36F6FB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0D7036EA-1599-4D56-888D-B9F36DD08E6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40AADCB1-5820-404B-BFED-41FB9487863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59" name="TextBox 1">
          <a:extLst>
            <a:ext uri="{FF2B5EF4-FFF2-40B4-BE49-F238E27FC236}">
              <a16:creationId xmlns:a16="http://schemas.microsoft.com/office/drawing/2014/main" id="{F80D17C5-E385-4A26-867D-208854F1D03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0" name="TextBox 1">
          <a:extLst>
            <a:ext uri="{FF2B5EF4-FFF2-40B4-BE49-F238E27FC236}">
              <a16:creationId xmlns:a16="http://schemas.microsoft.com/office/drawing/2014/main" id="{04F7AD00-56EF-414B-B003-55A65B6C8D3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70F71B0F-74F1-4119-AF1F-4B20AE91CD9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7BD2D138-160F-4508-A160-6EF6D20A4A6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3" name="TextBox 1">
          <a:extLst>
            <a:ext uri="{FF2B5EF4-FFF2-40B4-BE49-F238E27FC236}">
              <a16:creationId xmlns:a16="http://schemas.microsoft.com/office/drawing/2014/main" id="{BFF8215C-1A65-405F-A451-0419933E8F3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4" name="TextBox 1">
          <a:extLst>
            <a:ext uri="{FF2B5EF4-FFF2-40B4-BE49-F238E27FC236}">
              <a16:creationId xmlns:a16="http://schemas.microsoft.com/office/drawing/2014/main" id="{2198BCF5-B3A7-4D10-82A2-79D58715793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D252D85A-23F0-4BAE-82B7-410967B92C6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6796F792-C7CB-439D-8066-9974D5801B6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7" name="TextBox 1">
          <a:extLst>
            <a:ext uri="{FF2B5EF4-FFF2-40B4-BE49-F238E27FC236}">
              <a16:creationId xmlns:a16="http://schemas.microsoft.com/office/drawing/2014/main" id="{CF1EA148-E791-4D04-9185-3ED52276EA8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8" name="TextBox 1">
          <a:extLst>
            <a:ext uri="{FF2B5EF4-FFF2-40B4-BE49-F238E27FC236}">
              <a16:creationId xmlns:a16="http://schemas.microsoft.com/office/drawing/2014/main" id="{D8C53ADE-6E92-4667-B538-0D04EB8AF11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1DCBA8ED-A690-4974-91F3-CCFD601F1A5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F85499D5-A88A-4F13-A826-B6A92705A73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1" name="TextBox 1">
          <a:extLst>
            <a:ext uri="{FF2B5EF4-FFF2-40B4-BE49-F238E27FC236}">
              <a16:creationId xmlns:a16="http://schemas.microsoft.com/office/drawing/2014/main" id="{3671ABBE-9472-4C97-8E52-723EDBEDBD2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2" name="TextBox 1">
          <a:extLst>
            <a:ext uri="{FF2B5EF4-FFF2-40B4-BE49-F238E27FC236}">
              <a16:creationId xmlns:a16="http://schemas.microsoft.com/office/drawing/2014/main" id="{FA48EE1D-1F2E-4612-A037-F0DA46AE4BC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E5130B8D-A7D4-4A2A-BF9A-C860DCBFCB1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D72B9543-5C58-4D6E-9C77-4C60D188ED1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5" name="TextBox 1">
          <a:extLst>
            <a:ext uri="{FF2B5EF4-FFF2-40B4-BE49-F238E27FC236}">
              <a16:creationId xmlns:a16="http://schemas.microsoft.com/office/drawing/2014/main" id="{54CAFBED-F680-4EC1-A2E0-575C54FE39C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6" name="TextBox 1">
          <a:extLst>
            <a:ext uri="{FF2B5EF4-FFF2-40B4-BE49-F238E27FC236}">
              <a16:creationId xmlns:a16="http://schemas.microsoft.com/office/drawing/2014/main" id="{D32F1A6B-FA6A-4EFF-932B-5994E389170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698EA014-D610-4649-BBEE-F71BA1CF4D0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600679B6-6FF0-4818-8DCA-FC1672A3332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79" name="TextBox 1">
          <a:extLst>
            <a:ext uri="{FF2B5EF4-FFF2-40B4-BE49-F238E27FC236}">
              <a16:creationId xmlns:a16="http://schemas.microsoft.com/office/drawing/2014/main" id="{47515CE7-CC01-4B75-A24E-FDFA18D6288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0" name="TextBox 1">
          <a:extLst>
            <a:ext uri="{FF2B5EF4-FFF2-40B4-BE49-F238E27FC236}">
              <a16:creationId xmlns:a16="http://schemas.microsoft.com/office/drawing/2014/main" id="{3BDE9D58-4FCD-4439-BD23-4D51F5C2D88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8487E8FB-7348-4273-9CD8-87245D338BD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B17F0401-3790-4EA9-B361-1FA468C75F7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2FDA0BCD-8EA6-44B8-93EE-9EF155EFA07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4" name="TextBox 1">
          <a:extLst>
            <a:ext uri="{FF2B5EF4-FFF2-40B4-BE49-F238E27FC236}">
              <a16:creationId xmlns:a16="http://schemas.microsoft.com/office/drawing/2014/main" id="{1A1C270D-8F74-443D-8C76-16381CC9908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5" name="TextBox 1">
          <a:extLst>
            <a:ext uri="{FF2B5EF4-FFF2-40B4-BE49-F238E27FC236}">
              <a16:creationId xmlns:a16="http://schemas.microsoft.com/office/drawing/2014/main" id="{11D33DFB-2392-4D54-98D1-16A22F2DCFF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103791CC-B164-4DA5-AAC0-BD37788D3C0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52C8E110-4667-48A7-82CC-177D96D9AAA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8" name="TextBox 1">
          <a:extLst>
            <a:ext uri="{FF2B5EF4-FFF2-40B4-BE49-F238E27FC236}">
              <a16:creationId xmlns:a16="http://schemas.microsoft.com/office/drawing/2014/main" id="{90F20DF7-D9AA-44A9-A291-FF62DA65109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89" name="TextBox 1">
          <a:extLst>
            <a:ext uri="{FF2B5EF4-FFF2-40B4-BE49-F238E27FC236}">
              <a16:creationId xmlns:a16="http://schemas.microsoft.com/office/drawing/2014/main" id="{65F3B8D2-D4A6-42D6-91E0-A0280B9A34F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59A47688-2516-4533-8B9A-F8D1DA5DFDE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AF02692C-22CA-4C71-834D-C1942A8F81D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2" name="TextBox 1">
          <a:extLst>
            <a:ext uri="{FF2B5EF4-FFF2-40B4-BE49-F238E27FC236}">
              <a16:creationId xmlns:a16="http://schemas.microsoft.com/office/drawing/2014/main" id="{188796A6-22B5-4212-8650-49880B44A46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3" name="TextBox 1">
          <a:extLst>
            <a:ext uri="{FF2B5EF4-FFF2-40B4-BE49-F238E27FC236}">
              <a16:creationId xmlns:a16="http://schemas.microsoft.com/office/drawing/2014/main" id="{270A75BC-F4BE-4F9B-AAB0-C9F9059E1B6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81164F22-F581-4397-9A17-27B221195FF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CB4E9F5D-C113-42D7-BD43-C4602B41259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6" name="TextBox 1">
          <a:extLst>
            <a:ext uri="{FF2B5EF4-FFF2-40B4-BE49-F238E27FC236}">
              <a16:creationId xmlns:a16="http://schemas.microsoft.com/office/drawing/2014/main" id="{1139D78D-7E28-4154-BB08-932085EFBBC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7" name="TextBox 1">
          <a:extLst>
            <a:ext uri="{FF2B5EF4-FFF2-40B4-BE49-F238E27FC236}">
              <a16:creationId xmlns:a16="http://schemas.microsoft.com/office/drawing/2014/main" id="{EFECDECA-B50F-4B21-9066-A9FCFFA3807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9B47EDD0-53BE-45AD-831E-FA27CCD918D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18752DCB-E6BC-4527-B5E1-DC6CA881A80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0" name="TextBox 1">
          <a:extLst>
            <a:ext uri="{FF2B5EF4-FFF2-40B4-BE49-F238E27FC236}">
              <a16:creationId xmlns:a16="http://schemas.microsoft.com/office/drawing/2014/main" id="{B47E5B87-FF6F-48AA-9CDD-58979FCA7E8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1" name="TextBox 1">
          <a:extLst>
            <a:ext uri="{FF2B5EF4-FFF2-40B4-BE49-F238E27FC236}">
              <a16:creationId xmlns:a16="http://schemas.microsoft.com/office/drawing/2014/main" id="{32D38B39-026C-43B5-B40A-B4DB25126A9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140816CC-D0CF-49C4-A4C4-86D287C73C3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16F3924C-1A85-4F56-A20A-57B14571537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4" name="TextBox 1">
          <a:extLst>
            <a:ext uri="{FF2B5EF4-FFF2-40B4-BE49-F238E27FC236}">
              <a16:creationId xmlns:a16="http://schemas.microsoft.com/office/drawing/2014/main" id="{C40EE467-32DC-4DD0-9443-89C7B24DEFF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5" name="TextBox 1">
          <a:extLst>
            <a:ext uri="{FF2B5EF4-FFF2-40B4-BE49-F238E27FC236}">
              <a16:creationId xmlns:a16="http://schemas.microsoft.com/office/drawing/2014/main" id="{F4BC8F14-0596-4DFA-BF36-94059F520C7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8138737B-6B20-4B81-B506-F59967EB599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E0B5F0C2-FBF3-4ADB-804D-0F81FC34A0C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8" name="TextBox 1">
          <a:extLst>
            <a:ext uri="{FF2B5EF4-FFF2-40B4-BE49-F238E27FC236}">
              <a16:creationId xmlns:a16="http://schemas.microsoft.com/office/drawing/2014/main" id="{06F050CE-8679-4785-BC9B-9644779EC66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09" name="TextBox 1">
          <a:extLst>
            <a:ext uri="{FF2B5EF4-FFF2-40B4-BE49-F238E27FC236}">
              <a16:creationId xmlns:a16="http://schemas.microsoft.com/office/drawing/2014/main" id="{6A35C9FD-8C95-4099-B982-DCC988B6887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286484D2-2F12-4853-87CD-283D6B32117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7DF29617-836B-4332-A494-6A9FE3B0D52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2" name="TextBox 1">
          <a:extLst>
            <a:ext uri="{FF2B5EF4-FFF2-40B4-BE49-F238E27FC236}">
              <a16:creationId xmlns:a16="http://schemas.microsoft.com/office/drawing/2014/main" id="{2567ED9B-A833-4484-A67B-56D7E7D370F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3" name="TextBox 1">
          <a:extLst>
            <a:ext uri="{FF2B5EF4-FFF2-40B4-BE49-F238E27FC236}">
              <a16:creationId xmlns:a16="http://schemas.microsoft.com/office/drawing/2014/main" id="{BE1A591F-0811-4820-979E-D033024707F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9997024E-DC47-4F82-AB81-726A42F878A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CB997F86-6973-4F4B-957C-4BD42EBC04B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6" name="TextBox 1">
          <a:extLst>
            <a:ext uri="{FF2B5EF4-FFF2-40B4-BE49-F238E27FC236}">
              <a16:creationId xmlns:a16="http://schemas.microsoft.com/office/drawing/2014/main" id="{E3BFFEEF-45DA-4EF2-B181-F257D0F94D3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7" name="TextBox 1">
          <a:extLst>
            <a:ext uri="{FF2B5EF4-FFF2-40B4-BE49-F238E27FC236}">
              <a16:creationId xmlns:a16="http://schemas.microsoft.com/office/drawing/2014/main" id="{79B086C0-1008-43FD-9622-19770939B39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24801602-96D2-44FB-B1E8-4E1529C9AD1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D4179882-47D5-46F5-BCB7-788AD6F806F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0" name="TextBox 1">
          <a:extLst>
            <a:ext uri="{FF2B5EF4-FFF2-40B4-BE49-F238E27FC236}">
              <a16:creationId xmlns:a16="http://schemas.microsoft.com/office/drawing/2014/main" id="{2DBC3E3C-095A-43F6-A40F-31C6F440328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1" name="TextBox 1">
          <a:extLst>
            <a:ext uri="{FF2B5EF4-FFF2-40B4-BE49-F238E27FC236}">
              <a16:creationId xmlns:a16="http://schemas.microsoft.com/office/drawing/2014/main" id="{BF61D52E-307A-4598-8995-D200028D4E1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7019E412-2B52-4DF5-A7A4-702E5FE7F81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986857C0-611E-441F-B787-928FC30C789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4" name="TextBox 1">
          <a:extLst>
            <a:ext uri="{FF2B5EF4-FFF2-40B4-BE49-F238E27FC236}">
              <a16:creationId xmlns:a16="http://schemas.microsoft.com/office/drawing/2014/main" id="{2A5FB7F9-597D-47CD-A290-68E54240713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5" name="TextBox 1">
          <a:extLst>
            <a:ext uri="{FF2B5EF4-FFF2-40B4-BE49-F238E27FC236}">
              <a16:creationId xmlns:a16="http://schemas.microsoft.com/office/drawing/2014/main" id="{EBFAA782-217D-4EE5-9749-CFDC484D007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9D237DFB-EFCC-4825-90F2-A5C362A7A57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0F6A5F9D-AF06-4CE6-A54A-5BC04E8DDD8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E8C00C56-B853-4766-B59E-885F0C22AE1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29" name="TextBox 1">
          <a:extLst>
            <a:ext uri="{FF2B5EF4-FFF2-40B4-BE49-F238E27FC236}">
              <a16:creationId xmlns:a16="http://schemas.microsoft.com/office/drawing/2014/main" id="{3D125A58-81F0-47C8-9088-F50D8A3E54D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0" name="TextBox 1">
          <a:extLst>
            <a:ext uri="{FF2B5EF4-FFF2-40B4-BE49-F238E27FC236}">
              <a16:creationId xmlns:a16="http://schemas.microsoft.com/office/drawing/2014/main" id="{C8F77EB8-1BE8-44A9-B630-8EC4E401B25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61DCA321-A83C-4AEC-9AC6-9C07DA10830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45AFF8C1-E8AF-4928-B8AE-F84558ABED1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3" name="TextBox 1">
          <a:extLst>
            <a:ext uri="{FF2B5EF4-FFF2-40B4-BE49-F238E27FC236}">
              <a16:creationId xmlns:a16="http://schemas.microsoft.com/office/drawing/2014/main" id="{DD00F3DA-0BF7-4B93-92E2-A62131CE4B9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4" name="TextBox 1">
          <a:extLst>
            <a:ext uri="{FF2B5EF4-FFF2-40B4-BE49-F238E27FC236}">
              <a16:creationId xmlns:a16="http://schemas.microsoft.com/office/drawing/2014/main" id="{3507E9BF-3728-4A8E-8139-25563338E73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9DFE08F5-5588-4838-9EC8-82F0235D710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FC84CE24-73E8-488E-85F2-FB77C9FE49E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7" name="TextBox 1">
          <a:extLst>
            <a:ext uri="{FF2B5EF4-FFF2-40B4-BE49-F238E27FC236}">
              <a16:creationId xmlns:a16="http://schemas.microsoft.com/office/drawing/2014/main" id="{AA27E249-7E60-4EB7-BD85-0BE7B3939CA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8" name="TextBox 1">
          <a:extLst>
            <a:ext uri="{FF2B5EF4-FFF2-40B4-BE49-F238E27FC236}">
              <a16:creationId xmlns:a16="http://schemas.microsoft.com/office/drawing/2014/main" id="{F6DEC72E-FF93-4A03-8AE6-DF8E12D8B51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BD96AF80-3DF4-42AE-80B5-B6D57E3109D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3396FA91-FAB6-4E68-AE49-4AD7B8EBD29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1" name="TextBox 1">
          <a:extLst>
            <a:ext uri="{FF2B5EF4-FFF2-40B4-BE49-F238E27FC236}">
              <a16:creationId xmlns:a16="http://schemas.microsoft.com/office/drawing/2014/main" id="{C476DC9D-DBDC-44D8-9703-66994D95FE7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2" name="TextBox 1">
          <a:extLst>
            <a:ext uri="{FF2B5EF4-FFF2-40B4-BE49-F238E27FC236}">
              <a16:creationId xmlns:a16="http://schemas.microsoft.com/office/drawing/2014/main" id="{C11AF77F-7E92-4FAE-BEB8-A1DCC3D08A2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354BC5C9-1430-42FE-991A-48F3560C384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5D4FFA90-1CDC-458D-A9B8-E4952C0B474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5" name="TextBox 1">
          <a:extLst>
            <a:ext uri="{FF2B5EF4-FFF2-40B4-BE49-F238E27FC236}">
              <a16:creationId xmlns:a16="http://schemas.microsoft.com/office/drawing/2014/main" id="{5B253304-63F8-4071-B620-D838BF02E66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6" name="TextBox 1">
          <a:extLst>
            <a:ext uri="{FF2B5EF4-FFF2-40B4-BE49-F238E27FC236}">
              <a16:creationId xmlns:a16="http://schemas.microsoft.com/office/drawing/2014/main" id="{BA09E3FD-C6FC-4B73-8745-C2BBB7F25B7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87BD7582-139D-4945-8EDC-FAD80C33A4C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9A446CF5-2968-40B4-B840-6DB2648D0FC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49" name="TextBox 1">
          <a:extLst>
            <a:ext uri="{FF2B5EF4-FFF2-40B4-BE49-F238E27FC236}">
              <a16:creationId xmlns:a16="http://schemas.microsoft.com/office/drawing/2014/main" id="{A39A16B2-F8FE-4A08-AA01-43BC3A54530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0" name="TextBox 1">
          <a:extLst>
            <a:ext uri="{FF2B5EF4-FFF2-40B4-BE49-F238E27FC236}">
              <a16:creationId xmlns:a16="http://schemas.microsoft.com/office/drawing/2014/main" id="{5E62F852-59CF-493C-B89E-FABB282CCE9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F346B76F-D275-4FB1-974B-59B5A8F9137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9774094B-F91B-484E-A6B2-BC31162D426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3" name="TextBox 1">
          <a:extLst>
            <a:ext uri="{FF2B5EF4-FFF2-40B4-BE49-F238E27FC236}">
              <a16:creationId xmlns:a16="http://schemas.microsoft.com/office/drawing/2014/main" id="{442E98A4-3BE3-40F8-835D-438999A6B26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4" name="TextBox 1">
          <a:extLst>
            <a:ext uri="{FF2B5EF4-FFF2-40B4-BE49-F238E27FC236}">
              <a16:creationId xmlns:a16="http://schemas.microsoft.com/office/drawing/2014/main" id="{D14EB402-CF67-49A6-A164-C96926A948A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737D92ED-657E-4534-99A0-EE23C0B611E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0434D7F3-D81B-4836-8980-534971CD96A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7" name="TextBox 1">
          <a:extLst>
            <a:ext uri="{FF2B5EF4-FFF2-40B4-BE49-F238E27FC236}">
              <a16:creationId xmlns:a16="http://schemas.microsoft.com/office/drawing/2014/main" id="{093CDF94-B6D5-49B0-8793-577ACF7E1EB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8" name="TextBox 1">
          <a:extLst>
            <a:ext uri="{FF2B5EF4-FFF2-40B4-BE49-F238E27FC236}">
              <a16:creationId xmlns:a16="http://schemas.microsoft.com/office/drawing/2014/main" id="{3D2075C1-EF55-4F6B-B399-1BF948D2278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A04CD1BB-1AF1-48ED-BB19-8AC1BC2E255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CDEE121A-DCD7-4772-893B-5EF9AD16F77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1" name="TextBox 1">
          <a:extLst>
            <a:ext uri="{FF2B5EF4-FFF2-40B4-BE49-F238E27FC236}">
              <a16:creationId xmlns:a16="http://schemas.microsoft.com/office/drawing/2014/main" id="{708EB8C9-21B9-476F-89EB-7A5E29E3CDE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2" name="TextBox 1">
          <a:extLst>
            <a:ext uri="{FF2B5EF4-FFF2-40B4-BE49-F238E27FC236}">
              <a16:creationId xmlns:a16="http://schemas.microsoft.com/office/drawing/2014/main" id="{046EA91A-E10C-4325-A5BF-410E3B61EE5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162332F2-F996-4CE6-9EDD-C02A238B7E7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4" name="TextBox 1">
          <a:extLst>
            <a:ext uri="{FF2B5EF4-FFF2-40B4-BE49-F238E27FC236}">
              <a16:creationId xmlns:a16="http://schemas.microsoft.com/office/drawing/2014/main" id="{B92CC01D-8E54-4B72-BB9E-B57C6F06834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5" name="TextBox 1">
          <a:extLst>
            <a:ext uri="{FF2B5EF4-FFF2-40B4-BE49-F238E27FC236}">
              <a16:creationId xmlns:a16="http://schemas.microsoft.com/office/drawing/2014/main" id="{FC7DA765-D940-4D7B-B63E-7541AFDF064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3D25AD77-4D3D-46A2-A2E3-053307BA603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7" name="TextBox 1">
          <a:extLst>
            <a:ext uri="{FF2B5EF4-FFF2-40B4-BE49-F238E27FC236}">
              <a16:creationId xmlns:a16="http://schemas.microsoft.com/office/drawing/2014/main" id="{EDC2DDAF-3950-49E7-909F-842197FEB14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6BD55FE4-0B95-45D4-A8F2-AF254E22F7B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69" name="TextBox 1">
          <a:extLst>
            <a:ext uri="{FF2B5EF4-FFF2-40B4-BE49-F238E27FC236}">
              <a16:creationId xmlns:a16="http://schemas.microsoft.com/office/drawing/2014/main" id="{F01BBE5E-D5FF-4028-AECA-AE69233F8FB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0" name="TextBox 1">
          <a:extLst>
            <a:ext uri="{FF2B5EF4-FFF2-40B4-BE49-F238E27FC236}">
              <a16:creationId xmlns:a16="http://schemas.microsoft.com/office/drawing/2014/main" id="{0D462AC0-A9FA-4B56-A43A-C9EE8D42A94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4B601985-CBD1-4B5E-9B07-A043D5CD366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C65AAEBD-081B-4B73-9412-B5C473D4EEB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3" name="TextBox 1">
          <a:extLst>
            <a:ext uri="{FF2B5EF4-FFF2-40B4-BE49-F238E27FC236}">
              <a16:creationId xmlns:a16="http://schemas.microsoft.com/office/drawing/2014/main" id="{15A31D6F-399B-450B-85AF-3793903485C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4" name="TextBox 1">
          <a:extLst>
            <a:ext uri="{FF2B5EF4-FFF2-40B4-BE49-F238E27FC236}">
              <a16:creationId xmlns:a16="http://schemas.microsoft.com/office/drawing/2014/main" id="{B05684C9-5B9D-4511-899A-56CBB806A03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C2EEA89D-6278-4E18-9364-62ABB14CA26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59BB8202-9D00-4923-B54F-F49BBD119D3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CBDCD858-9CB2-4A49-BD5B-9B6FCFDAEDF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8" name="TextBox 1">
          <a:extLst>
            <a:ext uri="{FF2B5EF4-FFF2-40B4-BE49-F238E27FC236}">
              <a16:creationId xmlns:a16="http://schemas.microsoft.com/office/drawing/2014/main" id="{CC2162C7-390E-4BC2-8329-39E4E8B41A5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79" name="TextBox 1">
          <a:extLst>
            <a:ext uri="{FF2B5EF4-FFF2-40B4-BE49-F238E27FC236}">
              <a16:creationId xmlns:a16="http://schemas.microsoft.com/office/drawing/2014/main" id="{3502600A-E483-4C0B-8F0C-16315FAF1CB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24FC0DF3-A264-4ACA-8735-5333EB479A4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1EE9ED6C-E334-4DEF-B0DF-FA9D973010C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2" name="TextBox 1">
          <a:extLst>
            <a:ext uri="{FF2B5EF4-FFF2-40B4-BE49-F238E27FC236}">
              <a16:creationId xmlns:a16="http://schemas.microsoft.com/office/drawing/2014/main" id="{10C2FE5C-C1F0-4AEB-8C8E-F956E3E705E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3" name="TextBox 1">
          <a:extLst>
            <a:ext uri="{FF2B5EF4-FFF2-40B4-BE49-F238E27FC236}">
              <a16:creationId xmlns:a16="http://schemas.microsoft.com/office/drawing/2014/main" id="{E22796F9-6712-40E8-A28A-AD29F256A87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B01BBA83-EA47-44FB-9489-E5A0557C0FE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43468CCC-E365-4B28-8C95-F50E2641A00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6" name="TextBox 1">
          <a:extLst>
            <a:ext uri="{FF2B5EF4-FFF2-40B4-BE49-F238E27FC236}">
              <a16:creationId xmlns:a16="http://schemas.microsoft.com/office/drawing/2014/main" id="{99E586E3-E444-4881-81B3-64706FE4075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7" name="TextBox 1">
          <a:extLst>
            <a:ext uri="{FF2B5EF4-FFF2-40B4-BE49-F238E27FC236}">
              <a16:creationId xmlns:a16="http://schemas.microsoft.com/office/drawing/2014/main" id="{96F1E154-643B-40E3-A958-E2369909DFF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80123F42-D33C-4C32-90CA-B8137499237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E686E9A2-9A33-4D30-93CF-A0EE2715FF9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0" name="TextBox 1">
          <a:extLst>
            <a:ext uri="{FF2B5EF4-FFF2-40B4-BE49-F238E27FC236}">
              <a16:creationId xmlns:a16="http://schemas.microsoft.com/office/drawing/2014/main" id="{C3542E87-058F-469A-B65E-C37A71FB74C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1" name="TextBox 1">
          <a:extLst>
            <a:ext uri="{FF2B5EF4-FFF2-40B4-BE49-F238E27FC236}">
              <a16:creationId xmlns:a16="http://schemas.microsoft.com/office/drawing/2014/main" id="{1E01C2AA-79F6-4FCA-8BDB-065E2E821DE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3EE3C490-0950-43BE-9FCF-927E9650560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8F7FA8A9-AB33-44BF-BACB-5E75672BE9A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4" name="TextBox 1">
          <a:extLst>
            <a:ext uri="{FF2B5EF4-FFF2-40B4-BE49-F238E27FC236}">
              <a16:creationId xmlns:a16="http://schemas.microsoft.com/office/drawing/2014/main" id="{4571545C-5888-4891-80EA-F7B514DAFCB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5" name="TextBox 1">
          <a:extLst>
            <a:ext uri="{FF2B5EF4-FFF2-40B4-BE49-F238E27FC236}">
              <a16:creationId xmlns:a16="http://schemas.microsoft.com/office/drawing/2014/main" id="{456851DB-4BFC-4D30-9E70-D62E6BF9F4A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F992B8D4-1EC5-47DF-9744-C358FD77274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6D03A1B2-5623-439E-85C5-A917259A603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8" name="TextBox 1">
          <a:extLst>
            <a:ext uri="{FF2B5EF4-FFF2-40B4-BE49-F238E27FC236}">
              <a16:creationId xmlns:a16="http://schemas.microsoft.com/office/drawing/2014/main" id="{CCBB8C31-FFD9-4C8F-A611-9F3046FAFEA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999" name="TextBox 1">
          <a:extLst>
            <a:ext uri="{FF2B5EF4-FFF2-40B4-BE49-F238E27FC236}">
              <a16:creationId xmlns:a16="http://schemas.microsoft.com/office/drawing/2014/main" id="{BCD0092F-6DEE-4773-B7D8-E2038796C90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C8E6DC16-C867-44E1-AA4E-77E7EDD3D17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F6C35323-333C-4A1A-8AFD-5FB83048B66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2" name="TextBox 1">
          <a:extLst>
            <a:ext uri="{FF2B5EF4-FFF2-40B4-BE49-F238E27FC236}">
              <a16:creationId xmlns:a16="http://schemas.microsoft.com/office/drawing/2014/main" id="{4053248B-69AF-4386-AA33-72BA90C64DE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3" name="TextBox 1">
          <a:extLst>
            <a:ext uri="{FF2B5EF4-FFF2-40B4-BE49-F238E27FC236}">
              <a16:creationId xmlns:a16="http://schemas.microsoft.com/office/drawing/2014/main" id="{DE785FFE-C9A2-444C-978C-BF3BBB75587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DA630F39-5246-4A08-A5CC-52597917FFF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5DF91E73-933D-46E9-93BE-89047CBD589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6" name="TextBox 1">
          <a:extLst>
            <a:ext uri="{FF2B5EF4-FFF2-40B4-BE49-F238E27FC236}">
              <a16:creationId xmlns:a16="http://schemas.microsoft.com/office/drawing/2014/main" id="{E12EC129-6B9C-4A9F-ACCF-C89C5DF9889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7" name="TextBox 1">
          <a:extLst>
            <a:ext uri="{FF2B5EF4-FFF2-40B4-BE49-F238E27FC236}">
              <a16:creationId xmlns:a16="http://schemas.microsoft.com/office/drawing/2014/main" id="{CEFD1DAB-4535-4ED1-AF3A-B6788038C3A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68D2E6CF-ADE6-4AD9-B615-9C21E9C24C4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C513B389-5573-4FE5-8A2A-0A621E42B1D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0" name="TextBox 1">
          <a:extLst>
            <a:ext uri="{FF2B5EF4-FFF2-40B4-BE49-F238E27FC236}">
              <a16:creationId xmlns:a16="http://schemas.microsoft.com/office/drawing/2014/main" id="{649B9F13-BB9D-4B31-8094-403E2CEC055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1" name="TextBox 1">
          <a:extLst>
            <a:ext uri="{FF2B5EF4-FFF2-40B4-BE49-F238E27FC236}">
              <a16:creationId xmlns:a16="http://schemas.microsoft.com/office/drawing/2014/main" id="{13B0EBD3-7058-4043-BCFA-FA96F4AAB84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DE1183B2-A842-4A6D-BC18-5E9C3219CCF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83F8EE41-4F22-4BDD-BBEA-69E6DE1DD37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1EB9F0DF-90E8-453E-AED8-5F3B185F570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5" name="TextBox 1">
          <a:extLst>
            <a:ext uri="{FF2B5EF4-FFF2-40B4-BE49-F238E27FC236}">
              <a16:creationId xmlns:a16="http://schemas.microsoft.com/office/drawing/2014/main" id="{4737EDEC-251E-45FC-BFA6-26E2D993BA0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6" name="TextBox 1">
          <a:extLst>
            <a:ext uri="{FF2B5EF4-FFF2-40B4-BE49-F238E27FC236}">
              <a16:creationId xmlns:a16="http://schemas.microsoft.com/office/drawing/2014/main" id="{F7D0114E-C5D3-48D1-98BB-B5A8A3F9338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39462121-6602-4CE9-9786-E7BC700A280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37329A01-4E1C-4451-A081-95631CA0599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19" name="TextBox 1">
          <a:extLst>
            <a:ext uri="{FF2B5EF4-FFF2-40B4-BE49-F238E27FC236}">
              <a16:creationId xmlns:a16="http://schemas.microsoft.com/office/drawing/2014/main" id="{5835CD23-EE5B-4F6B-B51E-946C60EE161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0" name="TextBox 1">
          <a:extLst>
            <a:ext uri="{FF2B5EF4-FFF2-40B4-BE49-F238E27FC236}">
              <a16:creationId xmlns:a16="http://schemas.microsoft.com/office/drawing/2014/main" id="{D605003B-C72E-48F3-9389-51A16B278D7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730D2B66-F614-4D39-8EA9-B8C37567523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8A5B0508-72A1-4566-BC44-1DF97907DDC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3" name="TextBox 1">
          <a:extLst>
            <a:ext uri="{FF2B5EF4-FFF2-40B4-BE49-F238E27FC236}">
              <a16:creationId xmlns:a16="http://schemas.microsoft.com/office/drawing/2014/main" id="{D4F95328-EDE1-4AEA-91EB-49EE5DA8C64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4" name="TextBox 1">
          <a:extLst>
            <a:ext uri="{FF2B5EF4-FFF2-40B4-BE49-F238E27FC236}">
              <a16:creationId xmlns:a16="http://schemas.microsoft.com/office/drawing/2014/main" id="{FA4AA35A-4126-482D-B6EA-640F1025B74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3F46498D-7BCB-486E-BD8D-70CC2FDED6B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F2D52184-1A9A-40BF-8053-417D56AC90F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7" name="TextBox 1">
          <a:extLst>
            <a:ext uri="{FF2B5EF4-FFF2-40B4-BE49-F238E27FC236}">
              <a16:creationId xmlns:a16="http://schemas.microsoft.com/office/drawing/2014/main" id="{62D00D11-C159-4363-B929-BD0DC695E34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8" name="TextBox 1">
          <a:extLst>
            <a:ext uri="{FF2B5EF4-FFF2-40B4-BE49-F238E27FC236}">
              <a16:creationId xmlns:a16="http://schemas.microsoft.com/office/drawing/2014/main" id="{551226AD-DC30-4878-818E-9FCFE50735A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2739F15B-1A77-43BB-90E6-04B6DA526B3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6A2AA04B-A215-4CEF-A2B7-B2EB5C04DB5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1" name="TextBox 1">
          <a:extLst>
            <a:ext uri="{FF2B5EF4-FFF2-40B4-BE49-F238E27FC236}">
              <a16:creationId xmlns:a16="http://schemas.microsoft.com/office/drawing/2014/main" id="{691E517C-9F9F-4DE7-9F70-200D279CF39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2" name="TextBox 1">
          <a:extLst>
            <a:ext uri="{FF2B5EF4-FFF2-40B4-BE49-F238E27FC236}">
              <a16:creationId xmlns:a16="http://schemas.microsoft.com/office/drawing/2014/main" id="{42D8671B-AB86-49B0-B7F8-8774433B2BE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F8974055-9006-4804-A7AD-6D31AF15174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03F1054B-83E8-47B3-B5C7-453EEAA580B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5" name="TextBox 1">
          <a:extLst>
            <a:ext uri="{FF2B5EF4-FFF2-40B4-BE49-F238E27FC236}">
              <a16:creationId xmlns:a16="http://schemas.microsoft.com/office/drawing/2014/main" id="{8B6B4BDE-0D9F-489E-AF94-29CC0BD9F97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6" name="TextBox 1">
          <a:extLst>
            <a:ext uri="{FF2B5EF4-FFF2-40B4-BE49-F238E27FC236}">
              <a16:creationId xmlns:a16="http://schemas.microsoft.com/office/drawing/2014/main" id="{C26ABDA3-565F-4EAC-974F-F8FEA131710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7858ECC8-5043-4DBD-BF2C-7CE45F7941C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E8498CF9-6219-46B0-8D45-106CC72E845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39" name="TextBox 1">
          <a:extLst>
            <a:ext uri="{FF2B5EF4-FFF2-40B4-BE49-F238E27FC236}">
              <a16:creationId xmlns:a16="http://schemas.microsoft.com/office/drawing/2014/main" id="{119D5AE2-D75A-4101-B9B4-23F88F245E6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0" name="TextBox 1">
          <a:extLst>
            <a:ext uri="{FF2B5EF4-FFF2-40B4-BE49-F238E27FC236}">
              <a16:creationId xmlns:a16="http://schemas.microsoft.com/office/drawing/2014/main" id="{89241629-C679-4BA0-A01C-ACA0823576F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8EB04FC9-D006-4C20-BB51-E74BFE57B7E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7E69364D-B0F7-4E4F-A484-8B21343D2F9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3" name="TextBox 1">
          <a:extLst>
            <a:ext uri="{FF2B5EF4-FFF2-40B4-BE49-F238E27FC236}">
              <a16:creationId xmlns:a16="http://schemas.microsoft.com/office/drawing/2014/main" id="{119DB10C-F21F-4A0B-A953-DA79715BAED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4" name="TextBox 1">
          <a:extLst>
            <a:ext uri="{FF2B5EF4-FFF2-40B4-BE49-F238E27FC236}">
              <a16:creationId xmlns:a16="http://schemas.microsoft.com/office/drawing/2014/main" id="{206493C2-F6C3-4496-BE99-057FE20645E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57F3B21E-B1DB-48D4-B45B-BC4C0219B31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B7710F88-520D-44CF-BAAF-C9286D0AD10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7" name="TextBox 1">
          <a:extLst>
            <a:ext uri="{FF2B5EF4-FFF2-40B4-BE49-F238E27FC236}">
              <a16:creationId xmlns:a16="http://schemas.microsoft.com/office/drawing/2014/main" id="{2D906FB6-DC88-4F38-BEF0-417FFCF6FE5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8" name="TextBox 1">
          <a:extLst>
            <a:ext uri="{FF2B5EF4-FFF2-40B4-BE49-F238E27FC236}">
              <a16:creationId xmlns:a16="http://schemas.microsoft.com/office/drawing/2014/main" id="{AEE7CC64-7AE3-4964-B43A-B83809BD755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FD38007D-C345-4EAF-9B2D-37D8AD8CC88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DE96F9E6-63A4-4E84-A929-151C2183F41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1" name="TextBox 1">
          <a:extLst>
            <a:ext uri="{FF2B5EF4-FFF2-40B4-BE49-F238E27FC236}">
              <a16:creationId xmlns:a16="http://schemas.microsoft.com/office/drawing/2014/main" id="{713F6C1F-7556-4096-9C1C-9A53C727EF1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2" name="TextBox 1">
          <a:extLst>
            <a:ext uri="{FF2B5EF4-FFF2-40B4-BE49-F238E27FC236}">
              <a16:creationId xmlns:a16="http://schemas.microsoft.com/office/drawing/2014/main" id="{350CD6D6-8D94-475C-A518-B3D7FB0618B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8A4714CA-9B38-402C-8C13-FBB56740733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7755D87C-B45B-474C-814B-40FAC40566E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5" name="TextBox 1">
          <a:extLst>
            <a:ext uri="{FF2B5EF4-FFF2-40B4-BE49-F238E27FC236}">
              <a16:creationId xmlns:a16="http://schemas.microsoft.com/office/drawing/2014/main" id="{612FA3D1-6E37-4411-8A9B-7231440DB0C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6" name="TextBox 1">
          <a:extLst>
            <a:ext uri="{FF2B5EF4-FFF2-40B4-BE49-F238E27FC236}">
              <a16:creationId xmlns:a16="http://schemas.microsoft.com/office/drawing/2014/main" id="{2F5087E9-5D9F-4ADB-B63D-B85481BE5F6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7978F49D-C58C-46A5-B54E-91D35D87027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0E62426F-C184-4FD1-99EB-9B062BDAF6B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EC477C82-6FE4-4885-96CA-E2996BF8AC8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0" name="TextBox 1">
          <a:extLst>
            <a:ext uri="{FF2B5EF4-FFF2-40B4-BE49-F238E27FC236}">
              <a16:creationId xmlns:a16="http://schemas.microsoft.com/office/drawing/2014/main" id="{FA5FD2F8-A0C8-4881-A8BA-B211285C0F9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1" name="TextBox 1">
          <a:extLst>
            <a:ext uri="{FF2B5EF4-FFF2-40B4-BE49-F238E27FC236}">
              <a16:creationId xmlns:a16="http://schemas.microsoft.com/office/drawing/2014/main" id="{C9959E57-487B-4B66-AD4E-BC863EE6988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294738C8-DC1A-4BD2-9E3C-275A5396A45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9BE43AF2-A858-485B-A85F-6925EEACD8C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4" name="TextBox 1">
          <a:extLst>
            <a:ext uri="{FF2B5EF4-FFF2-40B4-BE49-F238E27FC236}">
              <a16:creationId xmlns:a16="http://schemas.microsoft.com/office/drawing/2014/main" id="{A0A9F4C1-2401-4386-850D-3C5790EA544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5" name="TextBox 1">
          <a:extLst>
            <a:ext uri="{FF2B5EF4-FFF2-40B4-BE49-F238E27FC236}">
              <a16:creationId xmlns:a16="http://schemas.microsoft.com/office/drawing/2014/main" id="{11CAD14D-AE0D-47CC-84E8-3F561E61D1E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91CE93A3-4754-4DF4-9BAC-A58646CF280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C02691AC-B7AC-42EE-904B-D92B7F69E48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8" name="TextBox 1">
          <a:extLst>
            <a:ext uri="{FF2B5EF4-FFF2-40B4-BE49-F238E27FC236}">
              <a16:creationId xmlns:a16="http://schemas.microsoft.com/office/drawing/2014/main" id="{EBDF14E1-9A8A-401E-B129-9C09AD97328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69" name="TextBox 1">
          <a:extLst>
            <a:ext uri="{FF2B5EF4-FFF2-40B4-BE49-F238E27FC236}">
              <a16:creationId xmlns:a16="http://schemas.microsoft.com/office/drawing/2014/main" id="{7C63E2B7-1410-4A7B-8714-D9EE7BAF025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C53A4855-3D0A-408C-95B0-1F293E77F3F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F7EDD42E-983C-4AF6-A477-A0977CE134C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2" name="TextBox 1">
          <a:extLst>
            <a:ext uri="{FF2B5EF4-FFF2-40B4-BE49-F238E27FC236}">
              <a16:creationId xmlns:a16="http://schemas.microsoft.com/office/drawing/2014/main" id="{ED91F194-8139-4774-9136-F091F10B2E7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3" name="TextBox 1">
          <a:extLst>
            <a:ext uri="{FF2B5EF4-FFF2-40B4-BE49-F238E27FC236}">
              <a16:creationId xmlns:a16="http://schemas.microsoft.com/office/drawing/2014/main" id="{D2684E15-4DF2-41C1-B08C-C2788ADA65B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4BEDC814-EF65-4050-B5C5-1E89D2A3691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7EF3B78F-1FB1-4222-94D4-02CF0093BB5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6" name="TextBox 1">
          <a:extLst>
            <a:ext uri="{FF2B5EF4-FFF2-40B4-BE49-F238E27FC236}">
              <a16:creationId xmlns:a16="http://schemas.microsoft.com/office/drawing/2014/main" id="{91AB586D-0670-4427-8494-838F53FC009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7" name="TextBox 1">
          <a:extLst>
            <a:ext uri="{FF2B5EF4-FFF2-40B4-BE49-F238E27FC236}">
              <a16:creationId xmlns:a16="http://schemas.microsoft.com/office/drawing/2014/main" id="{3E2E2B15-E0D5-42CE-A764-03DC5600FE5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0F11D00F-202A-4D54-8668-CB455A4B884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3B0C79DB-E9D7-4FC6-96C0-67E2E1FBF60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0" name="TextBox 1">
          <a:extLst>
            <a:ext uri="{FF2B5EF4-FFF2-40B4-BE49-F238E27FC236}">
              <a16:creationId xmlns:a16="http://schemas.microsoft.com/office/drawing/2014/main" id="{B05C0871-64E8-4DEB-8F13-F6CA2CCF716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1" name="TextBox 1">
          <a:extLst>
            <a:ext uri="{FF2B5EF4-FFF2-40B4-BE49-F238E27FC236}">
              <a16:creationId xmlns:a16="http://schemas.microsoft.com/office/drawing/2014/main" id="{0122EC1B-5721-4C02-97EE-E36BDF4C0E0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500DB1BE-9FA3-41BF-8504-8D4466FD729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A504CEA4-68E3-4D39-A7E3-E553B52BD05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4" name="TextBox 1">
          <a:extLst>
            <a:ext uri="{FF2B5EF4-FFF2-40B4-BE49-F238E27FC236}">
              <a16:creationId xmlns:a16="http://schemas.microsoft.com/office/drawing/2014/main" id="{274669A1-2E76-43F9-B22E-4D9CE728D24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5" name="TextBox 1">
          <a:extLst>
            <a:ext uri="{FF2B5EF4-FFF2-40B4-BE49-F238E27FC236}">
              <a16:creationId xmlns:a16="http://schemas.microsoft.com/office/drawing/2014/main" id="{752F8EF6-0609-4E8B-94F9-D217F8245A6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571069F1-D0D9-4E72-9777-08A769EA93F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D96DDDAA-3B49-4E45-81B2-F5B772A757B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8" name="TextBox 1">
          <a:extLst>
            <a:ext uri="{FF2B5EF4-FFF2-40B4-BE49-F238E27FC236}">
              <a16:creationId xmlns:a16="http://schemas.microsoft.com/office/drawing/2014/main" id="{B373E8AA-86C9-415E-8DC2-1F0782E5C7B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89" name="TextBox 1">
          <a:extLst>
            <a:ext uri="{FF2B5EF4-FFF2-40B4-BE49-F238E27FC236}">
              <a16:creationId xmlns:a16="http://schemas.microsoft.com/office/drawing/2014/main" id="{14ECF2CB-3BFF-45D6-8AEE-AB7E5B9865E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99F59B8E-146A-4A83-BCEA-CA8F9D61CB3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E93257F6-7DF2-465C-9285-9D70918F86A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2" name="TextBox 1">
          <a:extLst>
            <a:ext uri="{FF2B5EF4-FFF2-40B4-BE49-F238E27FC236}">
              <a16:creationId xmlns:a16="http://schemas.microsoft.com/office/drawing/2014/main" id="{9BFECBB6-7945-4C51-99AB-540D9E23788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3" name="TextBox 1">
          <a:extLst>
            <a:ext uri="{FF2B5EF4-FFF2-40B4-BE49-F238E27FC236}">
              <a16:creationId xmlns:a16="http://schemas.microsoft.com/office/drawing/2014/main" id="{AEC98DE7-F7B8-44EF-8079-06993A07650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DF95705D-C7E4-418D-A43A-E003F8FE82F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5" name="TextBox 1">
          <a:extLst>
            <a:ext uri="{FF2B5EF4-FFF2-40B4-BE49-F238E27FC236}">
              <a16:creationId xmlns:a16="http://schemas.microsoft.com/office/drawing/2014/main" id="{0CD63A2E-5663-4603-8CBD-CAC3F294255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6" name="TextBox 1">
          <a:extLst>
            <a:ext uri="{FF2B5EF4-FFF2-40B4-BE49-F238E27FC236}">
              <a16:creationId xmlns:a16="http://schemas.microsoft.com/office/drawing/2014/main" id="{AF25569B-83D2-4B9D-8C94-F06AD863E8C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07D5496F-D144-44D3-AD51-4B877A9804A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8" name="TextBox 1">
          <a:extLst>
            <a:ext uri="{FF2B5EF4-FFF2-40B4-BE49-F238E27FC236}">
              <a16:creationId xmlns:a16="http://schemas.microsoft.com/office/drawing/2014/main" id="{0793AC16-B429-480A-B045-EFFA02D07ED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1256E06E-CC78-401A-BB1B-45B05C4EEF3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0" name="TextBox 1">
          <a:extLst>
            <a:ext uri="{FF2B5EF4-FFF2-40B4-BE49-F238E27FC236}">
              <a16:creationId xmlns:a16="http://schemas.microsoft.com/office/drawing/2014/main" id="{13F15CE9-E54D-4B9A-AFF0-574D26A6808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1" name="TextBox 1">
          <a:extLst>
            <a:ext uri="{FF2B5EF4-FFF2-40B4-BE49-F238E27FC236}">
              <a16:creationId xmlns:a16="http://schemas.microsoft.com/office/drawing/2014/main" id="{D3663C66-FB4E-44E3-AC49-59E2A8F0072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4517EDC2-12C6-443C-8C7F-0E30388F8A5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C805467D-0C3A-4999-99AE-7BCDA6274B4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4" name="TextBox 1">
          <a:extLst>
            <a:ext uri="{FF2B5EF4-FFF2-40B4-BE49-F238E27FC236}">
              <a16:creationId xmlns:a16="http://schemas.microsoft.com/office/drawing/2014/main" id="{2392BD04-E45F-4D18-B9B2-87101AB58D1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5" name="TextBox 1">
          <a:extLst>
            <a:ext uri="{FF2B5EF4-FFF2-40B4-BE49-F238E27FC236}">
              <a16:creationId xmlns:a16="http://schemas.microsoft.com/office/drawing/2014/main" id="{D28F69FB-2B66-4159-82E7-85F6F331363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2B124208-4206-4935-BC6B-69711ECA5A5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57AAE052-B2AB-4CFB-9657-29C66DB7298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9736DA5F-0CE1-4837-AF43-39365531D0A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09" name="TextBox 1">
          <a:extLst>
            <a:ext uri="{FF2B5EF4-FFF2-40B4-BE49-F238E27FC236}">
              <a16:creationId xmlns:a16="http://schemas.microsoft.com/office/drawing/2014/main" id="{7E17E5AA-8E5E-4DC3-A6D0-D72679B74A7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0" name="TextBox 1">
          <a:extLst>
            <a:ext uri="{FF2B5EF4-FFF2-40B4-BE49-F238E27FC236}">
              <a16:creationId xmlns:a16="http://schemas.microsoft.com/office/drawing/2014/main" id="{2A5D6CB3-320E-4B13-80C0-A252323B4E6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909DF1FC-88EA-4128-BCD0-33F6F12D754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37F01F1A-AF92-446E-8B41-91C83B30584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3" name="TextBox 1">
          <a:extLst>
            <a:ext uri="{FF2B5EF4-FFF2-40B4-BE49-F238E27FC236}">
              <a16:creationId xmlns:a16="http://schemas.microsoft.com/office/drawing/2014/main" id="{508CD268-D371-4C81-95D7-E81468E7B12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4" name="TextBox 1">
          <a:extLst>
            <a:ext uri="{FF2B5EF4-FFF2-40B4-BE49-F238E27FC236}">
              <a16:creationId xmlns:a16="http://schemas.microsoft.com/office/drawing/2014/main" id="{A5CC425B-6964-4466-ACAF-598B889F048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0B8AF3D8-FDFF-43A6-924A-5F86FA50277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2A5F366F-23BE-4A69-857B-5C0273FB85B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7" name="TextBox 1">
          <a:extLst>
            <a:ext uri="{FF2B5EF4-FFF2-40B4-BE49-F238E27FC236}">
              <a16:creationId xmlns:a16="http://schemas.microsoft.com/office/drawing/2014/main" id="{ED3D8766-2EAE-4A4D-BC01-3338B553662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8" name="TextBox 1">
          <a:extLst>
            <a:ext uri="{FF2B5EF4-FFF2-40B4-BE49-F238E27FC236}">
              <a16:creationId xmlns:a16="http://schemas.microsoft.com/office/drawing/2014/main" id="{52DE5EB9-34AB-4087-A1A7-4D1A8A8C50B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5C92CE71-B655-4764-A384-8B6F78DD682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C615C7D7-AC4D-4B06-840A-F99B8F5FE15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1" name="TextBox 1">
          <a:extLst>
            <a:ext uri="{FF2B5EF4-FFF2-40B4-BE49-F238E27FC236}">
              <a16:creationId xmlns:a16="http://schemas.microsoft.com/office/drawing/2014/main" id="{4F83D217-032D-41AB-B076-D1302AA331D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2" name="TextBox 1">
          <a:extLst>
            <a:ext uri="{FF2B5EF4-FFF2-40B4-BE49-F238E27FC236}">
              <a16:creationId xmlns:a16="http://schemas.microsoft.com/office/drawing/2014/main" id="{A8547949-BD99-4558-8636-C54E3881032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717780EE-5409-4593-A553-F85FC34194B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0A91504B-6C92-4D74-B634-9EF348BEAF9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5" name="TextBox 1">
          <a:extLst>
            <a:ext uri="{FF2B5EF4-FFF2-40B4-BE49-F238E27FC236}">
              <a16:creationId xmlns:a16="http://schemas.microsoft.com/office/drawing/2014/main" id="{68313F8F-44EA-467B-B9F6-87DF0D4B6A0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6" name="TextBox 1">
          <a:extLst>
            <a:ext uri="{FF2B5EF4-FFF2-40B4-BE49-F238E27FC236}">
              <a16:creationId xmlns:a16="http://schemas.microsoft.com/office/drawing/2014/main" id="{1825BBB1-6175-4442-8AC6-DE93116D49F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163B5EAB-CFB4-4630-B173-BCB9B331177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3DAA56CA-BFB1-43C5-8446-2D35B133778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29" name="TextBox 1">
          <a:extLst>
            <a:ext uri="{FF2B5EF4-FFF2-40B4-BE49-F238E27FC236}">
              <a16:creationId xmlns:a16="http://schemas.microsoft.com/office/drawing/2014/main" id="{68EB95DE-A7FE-4895-A5FA-3D22E7D796E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0" name="TextBox 1">
          <a:extLst>
            <a:ext uri="{FF2B5EF4-FFF2-40B4-BE49-F238E27FC236}">
              <a16:creationId xmlns:a16="http://schemas.microsoft.com/office/drawing/2014/main" id="{8CAFC7AA-B707-4497-9E9E-ACE28939088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78EA4CBC-D7D8-4B4F-9458-462FA92F9FA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887C8D9E-9A66-4BD7-9EDE-48C03E1BAEF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3" name="TextBox 1">
          <a:extLst>
            <a:ext uri="{FF2B5EF4-FFF2-40B4-BE49-F238E27FC236}">
              <a16:creationId xmlns:a16="http://schemas.microsoft.com/office/drawing/2014/main" id="{0B4BD7A5-780E-4EE9-8322-65C064EEDB3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4" name="TextBox 1">
          <a:extLst>
            <a:ext uri="{FF2B5EF4-FFF2-40B4-BE49-F238E27FC236}">
              <a16:creationId xmlns:a16="http://schemas.microsoft.com/office/drawing/2014/main" id="{7A9A62BE-6FC5-4935-BFA7-DF3B6F58F7D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721AA3B9-B3D4-4E13-B46A-DACB71E43D2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E933FD52-1DE0-4FE8-B3D9-4DA34F5415F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7" name="TextBox 1">
          <a:extLst>
            <a:ext uri="{FF2B5EF4-FFF2-40B4-BE49-F238E27FC236}">
              <a16:creationId xmlns:a16="http://schemas.microsoft.com/office/drawing/2014/main" id="{15868C5A-F854-4D30-98F0-C2D366C0C4A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8" name="TextBox 1">
          <a:extLst>
            <a:ext uri="{FF2B5EF4-FFF2-40B4-BE49-F238E27FC236}">
              <a16:creationId xmlns:a16="http://schemas.microsoft.com/office/drawing/2014/main" id="{74A307E9-A38F-40A5-9678-CDCA90D5D40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82FB2994-C715-42CB-965D-2FF55539C82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89D814BC-89AC-48EC-8328-25343DD0F9A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1" name="TextBox 1">
          <a:extLst>
            <a:ext uri="{FF2B5EF4-FFF2-40B4-BE49-F238E27FC236}">
              <a16:creationId xmlns:a16="http://schemas.microsoft.com/office/drawing/2014/main" id="{F659E2C0-8AA0-43E5-B34B-15345B7A4C8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2" name="TextBox 1">
          <a:extLst>
            <a:ext uri="{FF2B5EF4-FFF2-40B4-BE49-F238E27FC236}">
              <a16:creationId xmlns:a16="http://schemas.microsoft.com/office/drawing/2014/main" id="{12A2C8FF-C4AB-4278-A572-A59C0204A9D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371FED45-39D2-453F-B395-8A72EDAAAA2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09AB3390-A30B-426E-9240-9523610D72E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832D2353-FC58-4BF2-B748-EEDD3937F9E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6" name="TextBox 1">
          <a:extLst>
            <a:ext uri="{FF2B5EF4-FFF2-40B4-BE49-F238E27FC236}">
              <a16:creationId xmlns:a16="http://schemas.microsoft.com/office/drawing/2014/main" id="{7B8D40D9-2CE9-4953-B6D9-996C561F32E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7" name="TextBox 1">
          <a:extLst>
            <a:ext uri="{FF2B5EF4-FFF2-40B4-BE49-F238E27FC236}">
              <a16:creationId xmlns:a16="http://schemas.microsoft.com/office/drawing/2014/main" id="{BFDC4FFA-789F-4842-8719-FD0286B0825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DC80466F-345D-4F77-8AB5-F435F76E8DF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0D4A5C28-6AA7-4617-9B6E-3F839CDE82B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0" name="TextBox 1">
          <a:extLst>
            <a:ext uri="{FF2B5EF4-FFF2-40B4-BE49-F238E27FC236}">
              <a16:creationId xmlns:a16="http://schemas.microsoft.com/office/drawing/2014/main" id="{B5971DA4-5641-4B3C-81A5-F79F3EB8D45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1" name="TextBox 1">
          <a:extLst>
            <a:ext uri="{FF2B5EF4-FFF2-40B4-BE49-F238E27FC236}">
              <a16:creationId xmlns:a16="http://schemas.microsoft.com/office/drawing/2014/main" id="{1A2FE205-FFE1-4379-A26B-2A7E5D80A90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2C674FC4-008B-4789-AC2D-14EBADF5D48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F16D2129-D2DB-4305-B5EB-098A100B4F3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4" name="TextBox 1">
          <a:extLst>
            <a:ext uri="{FF2B5EF4-FFF2-40B4-BE49-F238E27FC236}">
              <a16:creationId xmlns:a16="http://schemas.microsoft.com/office/drawing/2014/main" id="{0F192F5C-E6BC-4666-B701-0B691D5848E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5" name="TextBox 1">
          <a:extLst>
            <a:ext uri="{FF2B5EF4-FFF2-40B4-BE49-F238E27FC236}">
              <a16:creationId xmlns:a16="http://schemas.microsoft.com/office/drawing/2014/main" id="{4DAA3636-2E91-423C-A28F-136D5DA73D2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1CCEC1F8-BB2F-4056-97FC-CC8D420F58B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EC521F6F-673C-4D55-807B-4342C6FCC34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8" name="TextBox 1">
          <a:extLst>
            <a:ext uri="{FF2B5EF4-FFF2-40B4-BE49-F238E27FC236}">
              <a16:creationId xmlns:a16="http://schemas.microsoft.com/office/drawing/2014/main" id="{DB7EA07A-46DA-4F64-9905-EB3B63816A6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59" name="TextBox 1">
          <a:extLst>
            <a:ext uri="{FF2B5EF4-FFF2-40B4-BE49-F238E27FC236}">
              <a16:creationId xmlns:a16="http://schemas.microsoft.com/office/drawing/2014/main" id="{1049AE73-6821-4A5C-916E-09F03C619B6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AA2F352D-7F34-44E6-80F0-F23B23F91FC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E48B342C-1A4E-445B-8B7F-ED1EB4772FE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2" name="TextBox 1">
          <a:extLst>
            <a:ext uri="{FF2B5EF4-FFF2-40B4-BE49-F238E27FC236}">
              <a16:creationId xmlns:a16="http://schemas.microsoft.com/office/drawing/2014/main" id="{00968954-DA46-4777-A27E-EE914A1107F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3" name="TextBox 1">
          <a:extLst>
            <a:ext uri="{FF2B5EF4-FFF2-40B4-BE49-F238E27FC236}">
              <a16:creationId xmlns:a16="http://schemas.microsoft.com/office/drawing/2014/main" id="{C7EA3DC4-73CE-4857-9160-182DD231EDA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D30FB507-D5A4-4C96-A6ED-84DA03FED4C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D8DAAF97-2D0E-435A-9A41-082F5569C60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6" name="TextBox 1">
          <a:extLst>
            <a:ext uri="{FF2B5EF4-FFF2-40B4-BE49-F238E27FC236}">
              <a16:creationId xmlns:a16="http://schemas.microsoft.com/office/drawing/2014/main" id="{AD85F099-FC7D-4748-B8CB-2E059FB00B8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7" name="TextBox 1">
          <a:extLst>
            <a:ext uri="{FF2B5EF4-FFF2-40B4-BE49-F238E27FC236}">
              <a16:creationId xmlns:a16="http://schemas.microsoft.com/office/drawing/2014/main" id="{BBB97941-1A66-49CB-BF7D-9EDFD046A91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CC892057-1B40-491F-B6EB-BE31F55B965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F9A433E3-B6F9-4C94-81EE-761F03ED1DE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0" name="TextBox 1">
          <a:extLst>
            <a:ext uri="{FF2B5EF4-FFF2-40B4-BE49-F238E27FC236}">
              <a16:creationId xmlns:a16="http://schemas.microsoft.com/office/drawing/2014/main" id="{20999612-6FFB-4040-9870-E48130227E5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1" name="TextBox 1">
          <a:extLst>
            <a:ext uri="{FF2B5EF4-FFF2-40B4-BE49-F238E27FC236}">
              <a16:creationId xmlns:a16="http://schemas.microsoft.com/office/drawing/2014/main" id="{01DB5EDE-0CF9-4F79-B169-5EACADE60A1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AAACEBA0-67CD-4B2F-A380-4E7828AF2B1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A7CD2409-AB2C-4297-AD7A-78AD98C43BA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4" name="TextBox 1">
          <a:extLst>
            <a:ext uri="{FF2B5EF4-FFF2-40B4-BE49-F238E27FC236}">
              <a16:creationId xmlns:a16="http://schemas.microsoft.com/office/drawing/2014/main" id="{ED6F2A7A-ADCA-404B-8FED-BAB89E6EA5E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5" name="TextBox 1">
          <a:extLst>
            <a:ext uri="{FF2B5EF4-FFF2-40B4-BE49-F238E27FC236}">
              <a16:creationId xmlns:a16="http://schemas.microsoft.com/office/drawing/2014/main" id="{846E1469-4529-45F4-9992-0152A36002A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0D26124B-90D1-4470-A7EE-98DA5EDF408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70607982-947F-4FAF-A0F1-16896706777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8" name="TextBox 1">
          <a:extLst>
            <a:ext uri="{FF2B5EF4-FFF2-40B4-BE49-F238E27FC236}">
              <a16:creationId xmlns:a16="http://schemas.microsoft.com/office/drawing/2014/main" id="{CF7E9275-F078-4438-9779-C6A9F14F31A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79" name="TextBox 1">
          <a:extLst>
            <a:ext uri="{FF2B5EF4-FFF2-40B4-BE49-F238E27FC236}">
              <a16:creationId xmlns:a16="http://schemas.microsoft.com/office/drawing/2014/main" id="{5A77DAED-F8D1-4718-A500-92718AF235F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3A81854A-C8A5-4B99-A9D3-2587A87CEF5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9FC38005-86B6-4908-A59B-DBD16C1E9D6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2" name="TextBox 1">
          <a:extLst>
            <a:ext uri="{FF2B5EF4-FFF2-40B4-BE49-F238E27FC236}">
              <a16:creationId xmlns:a16="http://schemas.microsoft.com/office/drawing/2014/main" id="{1EC6E744-96F8-4CE0-8CF2-96624C94914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3" name="TextBox 1">
          <a:extLst>
            <a:ext uri="{FF2B5EF4-FFF2-40B4-BE49-F238E27FC236}">
              <a16:creationId xmlns:a16="http://schemas.microsoft.com/office/drawing/2014/main" id="{64FE8D1F-10AA-480B-A442-AEF68F82D98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18C8808A-5991-409A-8664-55A27B17FB4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A09E4002-3D54-4D2F-A01B-C67FD028436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6" name="TextBox 1">
          <a:extLst>
            <a:ext uri="{FF2B5EF4-FFF2-40B4-BE49-F238E27FC236}">
              <a16:creationId xmlns:a16="http://schemas.microsoft.com/office/drawing/2014/main" id="{4D347371-E588-4940-B25A-2E825F258A4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7" name="TextBox 1">
          <a:extLst>
            <a:ext uri="{FF2B5EF4-FFF2-40B4-BE49-F238E27FC236}">
              <a16:creationId xmlns:a16="http://schemas.microsoft.com/office/drawing/2014/main" id="{ACE5694F-BE10-48A5-AA69-71C75962B9E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D62892B5-B129-4948-8580-15294C2BF12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E3D2C9B4-A3FE-43D2-9816-0038130E4AA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A107E9B8-6AD7-48B3-B57E-E2D2329B5AD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1" name="TextBox 1">
          <a:extLst>
            <a:ext uri="{FF2B5EF4-FFF2-40B4-BE49-F238E27FC236}">
              <a16:creationId xmlns:a16="http://schemas.microsoft.com/office/drawing/2014/main" id="{0ED39D14-1988-4963-B893-948F9CF3892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2" name="TextBox 1">
          <a:extLst>
            <a:ext uri="{FF2B5EF4-FFF2-40B4-BE49-F238E27FC236}">
              <a16:creationId xmlns:a16="http://schemas.microsoft.com/office/drawing/2014/main" id="{98CDCF9B-59FA-441A-8049-B93F36BE56E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E3D73256-BCFB-4D6B-8640-D78B30584A9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CE96F72A-6A88-4C6A-81BB-3C24F21C61D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5" name="TextBox 1">
          <a:extLst>
            <a:ext uri="{FF2B5EF4-FFF2-40B4-BE49-F238E27FC236}">
              <a16:creationId xmlns:a16="http://schemas.microsoft.com/office/drawing/2014/main" id="{2F91B737-9FC5-4415-9C8D-537834C87D1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6" name="TextBox 1">
          <a:extLst>
            <a:ext uri="{FF2B5EF4-FFF2-40B4-BE49-F238E27FC236}">
              <a16:creationId xmlns:a16="http://schemas.microsoft.com/office/drawing/2014/main" id="{BB11E533-12F7-4873-B36F-73ADC61E396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FDCBCEE1-AC14-4DC7-91B3-6B716EF3900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753EE454-A6F5-4DE9-8103-4844B38B1DE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199" name="TextBox 1">
          <a:extLst>
            <a:ext uri="{FF2B5EF4-FFF2-40B4-BE49-F238E27FC236}">
              <a16:creationId xmlns:a16="http://schemas.microsoft.com/office/drawing/2014/main" id="{C79D5A48-A173-4346-B2C3-647B7D1F62E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0" name="TextBox 1">
          <a:extLst>
            <a:ext uri="{FF2B5EF4-FFF2-40B4-BE49-F238E27FC236}">
              <a16:creationId xmlns:a16="http://schemas.microsoft.com/office/drawing/2014/main" id="{9D4E17B6-CC7F-4E19-8596-BE06030732D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79CF5D23-A454-4008-9B36-620FACE89D2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F4BD07A3-1586-4577-82F2-C3A18C041B0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3" name="TextBox 1">
          <a:extLst>
            <a:ext uri="{FF2B5EF4-FFF2-40B4-BE49-F238E27FC236}">
              <a16:creationId xmlns:a16="http://schemas.microsoft.com/office/drawing/2014/main" id="{A5D307A1-AF02-4989-A83F-3586D8C6124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4" name="TextBox 1">
          <a:extLst>
            <a:ext uri="{FF2B5EF4-FFF2-40B4-BE49-F238E27FC236}">
              <a16:creationId xmlns:a16="http://schemas.microsoft.com/office/drawing/2014/main" id="{D8E5F395-9DFE-4A37-B04D-BC59509B465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6562C060-5671-4A66-8613-8AFE6D8E3D7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49F9FC36-6A42-4BED-8BBB-E8B7F9259E8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7" name="TextBox 1">
          <a:extLst>
            <a:ext uri="{FF2B5EF4-FFF2-40B4-BE49-F238E27FC236}">
              <a16:creationId xmlns:a16="http://schemas.microsoft.com/office/drawing/2014/main" id="{68C04919-4D1B-4141-9350-596825C74BC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8" name="TextBox 1">
          <a:extLst>
            <a:ext uri="{FF2B5EF4-FFF2-40B4-BE49-F238E27FC236}">
              <a16:creationId xmlns:a16="http://schemas.microsoft.com/office/drawing/2014/main" id="{0B267D6D-71F5-417A-89B1-E2C948396B9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5658B386-D546-46DD-93DE-0B2E23F4331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3D412E2A-537E-4C84-8A70-A6562504779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1" name="TextBox 1">
          <a:extLst>
            <a:ext uri="{FF2B5EF4-FFF2-40B4-BE49-F238E27FC236}">
              <a16:creationId xmlns:a16="http://schemas.microsoft.com/office/drawing/2014/main" id="{EFD85332-4EB1-463B-894E-15BA2128FE6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2" name="TextBox 1">
          <a:extLst>
            <a:ext uri="{FF2B5EF4-FFF2-40B4-BE49-F238E27FC236}">
              <a16:creationId xmlns:a16="http://schemas.microsoft.com/office/drawing/2014/main" id="{42D636A4-76E7-4123-93B1-3C66D9A7EB0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40440B84-0D6C-4A2B-B26C-73BC95A2D5D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3D8AC019-E775-483D-BADF-D0C74132264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5" name="TextBox 1">
          <a:extLst>
            <a:ext uri="{FF2B5EF4-FFF2-40B4-BE49-F238E27FC236}">
              <a16:creationId xmlns:a16="http://schemas.microsoft.com/office/drawing/2014/main" id="{AFB09F43-1E0D-4EC3-8767-5D485161CEB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6" name="TextBox 1">
          <a:extLst>
            <a:ext uri="{FF2B5EF4-FFF2-40B4-BE49-F238E27FC236}">
              <a16:creationId xmlns:a16="http://schemas.microsoft.com/office/drawing/2014/main" id="{F9930824-918C-4B7A-B577-93759CED099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5C86012E-DC3B-4395-84EA-07D6604F710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FE5E0530-5E5E-452D-AA50-5993D772502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19" name="TextBox 1">
          <a:extLst>
            <a:ext uri="{FF2B5EF4-FFF2-40B4-BE49-F238E27FC236}">
              <a16:creationId xmlns:a16="http://schemas.microsoft.com/office/drawing/2014/main" id="{825CE1DA-6FF5-4DA7-8916-1EEDD6F1DFB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0" name="TextBox 1">
          <a:extLst>
            <a:ext uri="{FF2B5EF4-FFF2-40B4-BE49-F238E27FC236}">
              <a16:creationId xmlns:a16="http://schemas.microsoft.com/office/drawing/2014/main" id="{03985E4C-B3BD-4210-A439-6F812A8F493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BA9FC2DF-D16E-471D-AB8B-41FE745D441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49172830-343E-401B-A65A-32755B9D293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3" name="TextBox 1">
          <a:extLst>
            <a:ext uri="{FF2B5EF4-FFF2-40B4-BE49-F238E27FC236}">
              <a16:creationId xmlns:a16="http://schemas.microsoft.com/office/drawing/2014/main" id="{B9F2E410-7F76-4F06-B77B-18710177890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4" name="TextBox 1">
          <a:extLst>
            <a:ext uri="{FF2B5EF4-FFF2-40B4-BE49-F238E27FC236}">
              <a16:creationId xmlns:a16="http://schemas.microsoft.com/office/drawing/2014/main" id="{A7FD5F14-AC7C-429F-BFF6-FD4427E171C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4118D7D9-3400-46B3-B998-84DE6376153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6" name="TextBox 1">
          <a:extLst>
            <a:ext uri="{FF2B5EF4-FFF2-40B4-BE49-F238E27FC236}">
              <a16:creationId xmlns:a16="http://schemas.microsoft.com/office/drawing/2014/main" id="{EF25597E-EA64-4444-8D9B-0129B77D12F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7" name="TextBox 1">
          <a:extLst>
            <a:ext uri="{FF2B5EF4-FFF2-40B4-BE49-F238E27FC236}">
              <a16:creationId xmlns:a16="http://schemas.microsoft.com/office/drawing/2014/main" id="{1F83FDBA-7E6B-4266-9EBB-BFA40101FE5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4D2C7036-AED6-4FD1-B89C-3EFFD379BD1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29" name="TextBox 1">
          <a:extLst>
            <a:ext uri="{FF2B5EF4-FFF2-40B4-BE49-F238E27FC236}">
              <a16:creationId xmlns:a16="http://schemas.microsoft.com/office/drawing/2014/main" id="{7105504D-FDB3-434C-96AF-FF46AEE2A85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A811018F-22DE-4016-9200-EADAE2798B3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1" name="TextBox 1">
          <a:extLst>
            <a:ext uri="{FF2B5EF4-FFF2-40B4-BE49-F238E27FC236}">
              <a16:creationId xmlns:a16="http://schemas.microsoft.com/office/drawing/2014/main" id="{5C759FB0-BED8-47C7-A64E-E8F187FB606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2" name="TextBox 1">
          <a:extLst>
            <a:ext uri="{FF2B5EF4-FFF2-40B4-BE49-F238E27FC236}">
              <a16:creationId xmlns:a16="http://schemas.microsoft.com/office/drawing/2014/main" id="{45F00CFE-3C8F-4F42-AC92-7F26764AE17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9D4849FF-41CA-4DC5-97E5-867DB444962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F7CF771C-CE8A-451C-83FF-49EA8B0FD15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5" name="TextBox 1">
          <a:extLst>
            <a:ext uri="{FF2B5EF4-FFF2-40B4-BE49-F238E27FC236}">
              <a16:creationId xmlns:a16="http://schemas.microsoft.com/office/drawing/2014/main" id="{3BC26B65-FDA4-4645-AA73-070F259570E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6" name="TextBox 1">
          <a:extLst>
            <a:ext uri="{FF2B5EF4-FFF2-40B4-BE49-F238E27FC236}">
              <a16:creationId xmlns:a16="http://schemas.microsoft.com/office/drawing/2014/main" id="{CDD03143-2F07-4245-B2BC-3D34B11048A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E5F85D7C-5038-426B-8BC2-C263C6610DE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80E5FEE0-B439-484E-A264-AE4B332A7A0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8D24CB5E-B145-47C8-83FC-2D6CEB478F8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0" name="TextBox 1">
          <a:extLst>
            <a:ext uri="{FF2B5EF4-FFF2-40B4-BE49-F238E27FC236}">
              <a16:creationId xmlns:a16="http://schemas.microsoft.com/office/drawing/2014/main" id="{16057AF5-955D-47E2-BD6B-BB48AD8D6EC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1" name="TextBox 1">
          <a:extLst>
            <a:ext uri="{FF2B5EF4-FFF2-40B4-BE49-F238E27FC236}">
              <a16:creationId xmlns:a16="http://schemas.microsoft.com/office/drawing/2014/main" id="{BA7FB1EE-60DB-4538-8569-0CF1B29647A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E595B9DD-AA1D-4939-9B19-744812F5204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A4BECDF1-C468-48CE-9FF2-181510257A9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4" name="TextBox 1">
          <a:extLst>
            <a:ext uri="{FF2B5EF4-FFF2-40B4-BE49-F238E27FC236}">
              <a16:creationId xmlns:a16="http://schemas.microsoft.com/office/drawing/2014/main" id="{FFA60963-522E-40BD-9019-5AAED0CC868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5" name="TextBox 1">
          <a:extLst>
            <a:ext uri="{FF2B5EF4-FFF2-40B4-BE49-F238E27FC236}">
              <a16:creationId xmlns:a16="http://schemas.microsoft.com/office/drawing/2014/main" id="{11247B7B-38E8-4E91-B92A-BA36CB0AE47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652AAFBD-9049-4C6F-B8C3-6B681346E41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E457D83D-63AD-4E62-89E6-05883FF933D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8" name="TextBox 1">
          <a:extLst>
            <a:ext uri="{FF2B5EF4-FFF2-40B4-BE49-F238E27FC236}">
              <a16:creationId xmlns:a16="http://schemas.microsoft.com/office/drawing/2014/main" id="{46D3E0F1-B657-4134-A6F9-F95AB8781DA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49" name="TextBox 1">
          <a:extLst>
            <a:ext uri="{FF2B5EF4-FFF2-40B4-BE49-F238E27FC236}">
              <a16:creationId xmlns:a16="http://schemas.microsoft.com/office/drawing/2014/main" id="{2B6A0DC7-AF96-4AE0-A19A-336B448D6B0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EA7409B7-9F41-4F2D-8C2A-A2E4CE00B51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DEB326F6-3463-4194-9A91-29DFC3FFA58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2" name="TextBox 1">
          <a:extLst>
            <a:ext uri="{FF2B5EF4-FFF2-40B4-BE49-F238E27FC236}">
              <a16:creationId xmlns:a16="http://schemas.microsoft.com/office/drawing/2014/main" id="{D8FCB283-5B02-4B0C-861F-D7A34AE845C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3" name="TextBox 1">
          <a:extLst>
            <a:ext uri="{FF2B5EF4-FFF2-40B4-BE49-F238E27FC236}">
              <a16:creationId xmlns:a16="http://schemas.microsoft.com/office/drawing/2014/main" id="{F751218A-042E-4617-B517-36CDF5812A0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35892E13-57CC-4881-B6FF-DD78EA5E975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39323C7F-7B07-4ABA-8784-87ED1CEA51B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6" name="TextBox 1">
          <a:extLst>
            <a:ext uri="{FF2B5EF4-FFF2-40B4-BE49-F238E27FC236}">
              <a16:creationId xmlns:a16="http://schemas.microsoft.com/office/drawing/2014/main" id="{5DC0BB09-F634-40C4-B863-CAAFBAE214D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7" name="TextBox 1">
          <a:extLst>
            <a:ext uri="{FF2B5EF4-FFF2-40B4-BE49-F238E27FC236}">
              <a16:creationId xmlns:a16="http://schemas.microsoft.com/office/drawing/2014/main" id="{0F4A8E1D-1178-44F4-9A89-0CA7A8C63AA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105E674C-6DAF-45FE-8BD8-0F4028FC533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52D95C6A-891B-4627-8F41-8CADEBE0A92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0" name="TextBox 1">
          <a:extLst>
            <a:ext uri="{FF2B5EF4-FFF2-40B4-BE49-F238E27FC236}">
              <a16:creationId xmlns:a16="http://schemas.microsoft.com/office/drawing/2014/main" id="{B199DD69-A8FC-45A3-A9DF-211E2633F90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1" name="TextBox 1">
          <a:extLst>
            <a:ext uri="{FF2B5EF4-FFF2-40B4-BE49-F238E27FC236}">
              <a16:creationId xmlns:a16="http://schemas.microsoft.com/office/drawing/2014/main" id="{704C2E37-CC66-412E-94E4-53B4E143EDE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D4D461B8-45B9-4C77-B56B-DCCF25D1C9E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19303993-7052-491A-B143-0C57CC333A4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4" name="TextBox 1">
          <a:extLst>
            <a:ext uri="{FF2B5EF4-FFF2-40B4-BE49-F238E27FC236}">
              <a16:creationId xmlns:a16="http://schemas.microsoft.com/office/drawing/2014/main" id="{16D64AB7-8C1C-439A-8A31-D4B1C4DD061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5" name="TextBox 1">
          <a:extLst>
            <a:ext uri="{FF2B5EF4-FFF2-40B4-BE49-F238E27FC236}">
              <a16:creationId xmlns:a16="http://schemas.microsoft.com/office/drawing/2014/main" id="{7C8AC84E-04E9-4D34-8186-8128BEB9FA8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9FC8B4E3-2054-422A-9689-A2A3F137173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1CBD6E52-4365-4C98-9B87-A2F7B1CAE08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8" name="TextBox 1">
          <a:extLst>
            <a:ext uri="{FF2B5EF4-FFF2-40B4-BE49-F238E27FC236}">
              <a16:creationId xmlns:a16="http://schemas.microsoft.com/office/drawing/2014/main" id="{5E60CA9F-5B4C-418E-A231-9ABB5ECCCDF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69" name="TextBox 1">
          <a:extLst>
            <a:ext uri="{FF2B5EF4-FFF2-40B4-BE49-F238E27FC236}">
              <a16:creationId xmlns:a16="http://schemas.microsoft.com/office/drawing/2014/main" id="{4E86E884-E863-4DF0-AEC5-6F58EDBE258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7372FB85-39C4-4E29-BD70-93A6483D003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59138915-4784-4E25-AD33-C25CE08ABA4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2" name="TextBox 1">
          <a:extLst>
            <a:ext uri="{FF2B5EF4-FFF2-40B4-BE49-F238E27FC236}">
              <a16:creationId xmlns:a16="http://schemas.microsoft.com/office/drawing/2014/main" id="{2BAC4F34-2D17-4FB8-8FF5-3BEDE23A627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3" name="TextBox 1">
          <a:extLst>
            <a:ext uri="{FF2B5EF4-FFF2-40B4-BE49-F238E27FC236}">
              <a16:creationId xmlns:a16="http://schemas.microsoft.com/office/drawing/2014/main" id="{B986C259-1A48-4A1D-84B2-B71AC70FA76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9C420634-8E13-4C0F-B3CF-18B2FE5DCB5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3B186EB5-5D9E-4B91-8A0A-3A2CB491588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18ED1660-7A6A-4F8E-BAA2-0EA99BA3698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7" name="TextBox 1">
          <a:extLst>
            <a:ext uri="{FF2B5EF4-FFF2-40B4-BE49-F238E27FC236}">
              <a16:creationId xmlns:a16="http://schemas.microsoft.com/office/drawing/2014/main" id="{5BF0FC99-84B4-494D-938E-58E7CDAF2C7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8" name="TextBox 1">
          <a:extLst>
            <a:ext uri="{FF2B5EF4-FFF2-40B4-BE49-F238E27FC236}">
              <a16:creationId xmlns:a16="http://schemas.microsoft.com/office/drawing/2014/main" id="{EF2741E6-0D22-4CFB-B44E-EA9123F96D2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C37BED58-58C7-4831-9ACF-288693E7602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69024DA0-73A5-484D-9083-00630D3809E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1" name="TextBox 1">
          <a:extLst>
            <a:ext uri="{FF2B5EF4-FFF2-40B4-BE49-F238E27FC236}">
              <a16:creationId xmlns:a16="http://schemas.microsoft.com/office/drawing/2014/main" id="{8741C2A5-D056-4603-AD94-CB25CF70D02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2" name="TextBox 1">
          <a:extLst>
            <a:ext uri="{FF2B5EF4-FFF2-40B4-BE49-F238E27FC236}">
              <a16:creationId xmlns:a16="http://schemas.microsoft.com/office/drawing/2014/main" id="{4B7E187D-DAB3-4F78-919D-AF32FF64705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1E60D6E8-86BB-42B1-A1A7-A3419763B06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E9586922-E756-48A8-B551-381A24F52A2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5" name="TextBox 1">
          <a:extLst>
            <a:ext uri="{FF2B5EF4-FFF2-40B4-BE49-F238E27FC236}">
              <a16:creationId xmlns:a16="http://schemas.microsoft.com/office/drawing/2014/main" id="{42953016-AE1A-4B73-B09B-F98FEC27DFD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6" name="TextBox 1">
          <a:extLst>
            <a:ext uri="{FF2B5EF4-FFF2-40B4-BE49-F238E27FC236}">
              <a16:creationId xmlns:a16="http://schemas.microsoft.com/office/drawing/2014/main" id="{1E46B465-74CD-40BE-907B-DB29BDAD5E3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5F30419E-B807-4C0C-A0DA-DF55335117C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7C37CC2E-ED07-4F9D-9818-9FBF6FE3F8B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89" name="TextBox 1">
          <a:extLst>
            <a:ext uri="{FF2B5EF4-FFF2-40B4-BE49-F238E27FC236}">
              <a16:creationId xmlns:a16="http://schemas.microsoft.com/office/drawing/2014/main" id="{1230A037-320C-4874-A5BC-25DBA48E301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0" name="TextBox 1">
          <a:extLst>
            <a:ext uri="{FF2B5EF4-FFF2-40B4-BE49-F238E27FC236}">
              <a16:creationId xmlns:a16="http://schemas.microsoft.com/office/drawing/2014/main" id="{52437848-0AC2-486E-8082-C79FA90B227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BC20E10C-8785-4CD4-8D61-8F1C6FA0064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81B9F9D3-A85D-4DF9-9690-872366BE45B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3" name="TextBox 1">
          <a:extLst>
            <a:ext uri="{FF2B5EF4-FFF2-40B4-BE49-F238E27FC236}">
              <a16:creationId xmlns:a16="http://schemas.microsoft.com/office/drawing/2014/main" id="{AE8652C1-2034-4E12-8DB3-1A72E9762A0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4" name="TextBox 1">
          <a:extLst>
            <a:ext uri="{FF2B5EF4-FFF2-40B4-BE49-F238E27FC236}">
              <a16:creationId xmlns:a16="http://schemas.microsoft.com/office/drawing/2014/main" id="{82C4B202-750A-495A-9566-40B02A8E478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76552270-2569-41F2-97BB-1CADE88EF57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0DF92CF1-0C35-4C51-A83D-55F290979A6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7" name="TextBox 1">
          <a:extLst>
            <a:ext uri="{FF2B5EF4-FFF2-40B4-BE49-F238E27FC236}">
              <a16:creationId xmlns:a16="http://schemas.microsoft.com/office/drawing/2014/main" id="{0D2D2831-A914-4123-BEAA-281EFDD8988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8" name="TextBox 1">
          <a:extLst>
            <a:ext uri="{FF2B5EF4-FFF2-40B4-BE49-F238E27FC236}">
              <a16:creationId xmlns:a16="http://schemas.microsoft.com/office/drawing/2014/main" id="{84B5404C-DA87-42FA-AF4F-950269C5205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AFE5B18F-3A6A-44C0-B369-5C011BEEAA9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0AB8C075-03A5-4627-95C1-2F8B4AD964C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1" name="TextBox 1">
          <a:extLst>
            <a:ext uri="{FF2B5EF4-FFF2-40B4-BE49-F238E27FC236}">
              <a16:creationId xmlns:a16="http://schemas.microsoft.com/office/drawing/2014/main" id="{F40B0095-5540-4DA5-8A6B-2271C2A9FE3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2" name="TextBox 1">
          <a:extLst>
            <a:ext uri="{FF2B5EF4-FFF2-40B4-BE49-F238E27FC236}">
              <a16:creationId xmlns:a16="http://schemas.microsoft.com/office/drawing/2014/main" id="{D575722A-1D89-4FA8-B470-B2183AC41F0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D96ADEC0-E298-4722-95C0-87F3D32A809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0347F80F-17AD-4F7F-96F0-E947499BF5B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5" name="TextBox 1">
          <a:extLst>
            <a:ext uri="{FF2B5EF4-FFF2-40B4-BE49-F238E27FC236}">
              <a16:creationId xmlns:a16="http://schemas.microsoft.com/office/drawing/2014/main" id="{683D4AFA-2BD2-4FD7-8F0B-DE36C9A4DAD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6" name="TextBox 1">
          <a:extLst>
            <a:ext uri="{FF2B5EF4-FFF2-40B4-BE49-F238E27FC236}">
              <a16:creationId xmlns:a16="http://schemas.microsoft.com/office/drawing/2014/main" id="{FB8C5D94-F457-458B-9A78-83CF50B80D5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878CBD21-DCFE-4EC1-9D5C-F7FA4AD871B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5634B08F-FAC2-4E71-88D5-F01F14AB611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09" name="TextBox 1">
          <a:extLst>
            <a:ext uri="{FF2B5EF4-FFF2-40B4-BE49-F238E27FC236}">
              <a16:creationId xmlns:a16="http://schemas.microsoft.com/office/drawing/2014/main" id="{16F981DE-40A2-4562-973A-DC1C05C84F2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0" name="TextBox 1">
          <a:extLst>
            <a:ext uri="{FF2B5EF4-FFF2-40B4-BE49-F238E27FC236}">
              <a16:creationId xmlns:a16="http://schemas.microsoft.com/office/drawing/2014/main" id="{3434E5A8-9B61-4972-A6EC-31F69816B74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3DA0CA9D-DDFE-45AE-A3F6-8BDF5D8D3EA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7A5132FF-23BE-4966-9EA2-877BF5A487B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3" name="TextBox 1">
          <a:extLst>
            <a:ext uri="{FF2B5EF4-FFF2-40B4-BE49-F238E27FC236}">
              <a16:creationId xmlns:a16="http://schemas.microsoft.com/office/drawing/2014/main" id="{DCCCD21D-ED40-4FE5-B202-3C36A4263FD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4" name="TextBox 1">
          <a:extLst>
            <a:ext uri="{FF2B5EF4-FFF2-40B4-BE49-F238E27FC236}">
              <a16:creationId xmlns:a16="http://schemas.microsoft.com/office/drawing/2014/main" id="{0B90DDA4-F0F0-4CA7-9C7C-6A99E727A50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5DCBA8A8-B750-4226-AF3C-73552D3AB0D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FA7BF351-F1F6-4F03-ABC3-1BBA2BEEEEC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7" name="TextBox 1">
          <a:extLst>
            <a:ext uri="{FF2B5EF4-FFF2-40B4-BE49-F238E27FC236}">
              <a16:creationId xmlns:a16="http://schemas.microsoft.com/office/drawing/2014/main" id="{110CEA82-7CC9-4977-B765-223316D53B5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8" name="TextBox 1">
          <a:extLst>
            <a:ext uri="{FF2B5EF4-FFF2-40B4-BE49-F238E27FC236}">
              <a16:creationId xmlns:a16="http://schemas.microsoft.com/office/drawing/2014/main" id="{09FD3765-3221-46D5-B592-A699ECF42F4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E18E0D3E-AF35-473B-8FFD-0A124E21E19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2C9551DA-E03D-417D-AABB-07D7CEA94B5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56F7565C-BA45-4629-93A1-C576B8D2606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2" name="TextBox 1">
          <a:extLst>
            <a:ext uri="{FF2B5EF4-FFF2-40B4-BE49-F238E27FC236}">
              <a16:creationId xmlns:a16="http://schemas.microsoft.com/office/drawing/2014/main" id="{75DD1AE3-0DE1-4630-819C-F178602441B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3" name="TextBox 1">
          <a:extLst>
            <a:ext uri="{FF2B5EF4-FFF2-40B4-BE49-F238E27FC236}">
              <a16:creationId xmlns:a16="http://schemas.microsoft.com/office/drawing/2014/main" id="{1CA98755-D5FA-45B5-8066-753DE5982B8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E42EBC25-8AE0-486E-B265-3CD9F2DA407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E9F3997B-60F1-40B5-8BAC-D51CA840CD2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6" name="TextBox 1">
          <a:extLst>
            <a:ext uri="{FF2B5EF4-FFF2-40B4-BE49-F238E27FC236}">
              <a16:creationId xmlns:a16="http://schemas.microsoft.com/office/drawing/2014/main" id="{633F1790-2005-47B6-AD4A-2C221F73B2D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7" name="TextBox 1">
          <a:extLst>
            <a:ext uri="{FF2B5EF4-FFF2-40B4-BE49-F238E27FC236}">
              <a16:creationId xmlns:a16="http://schemas.microsoft.com/office/drawing/2014/main" id="{1BB8C808-9B36-4839-8009-A7A2E8A00CA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9143285C-0E3D-46CF-AFAB-68B6DDD7E27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B993002B-2DD9-4CF9-A15C-1A037BC9B9C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0" name="TextBox 1">
          <a:extLst>
            <a:ext uri="{FF2B5EF4-FFF2-40B4-BE49-F238E27FC236}">
              <a16:creationId xmlns:a16="http://schemas.microsoft.com/office/drawing/2014/main" id="{10F472F5-2AAF-4BC9-9D10-96F882C9607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1" name="TextBox 1">
          <a:extLst>
            <a:ext uri="{FF2B5EF4-FFF2-40B4-BE49-F238E27FC236}">
              <a16:creationId xmlns:a16="http://schemas.microsoft.com/office/drawing/2014/main" id="{2F27631D-B3B0-4DD2-9901-C2FE508F6AD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C0B11A62-2422-4374-849D-9F93AB6CF88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7CAF3DD4-F735-4FE6-A159-91D5BDEBBB0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4" name="TextBox 1">
          <a:extLst>
            <a:ext uri="{FF2B5EF4-FFF2-40B4-BE49-F238E27FC236}">
              <a16:creationId xmlns:a16="http://schemas.microsoft.com/office/drawing/2014/main" id="{152BA38E-2775-4240-B740-FC0D679C696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5" name="TextBox 1">
          <a:extLst>
            <a:ext uri="{FF2B5EF4-FFF2-40B4-BE49-F238E27FC236}">
              <a16:creationId xmlns:a16="http://schemas.microsoft.com/office/drawing/2014/main" id="{A04CC876-2E2F-4296-BFCB-052358B6077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B59EEFFF-34ED-4411-8289-C4BD8DF179C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4D84FA43-BC2B-415B-BC81-C7B632B01CF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8" name="TextBox 1">
          <a:extLst>
            <a:ext uri="{FF2B5EF4-FFF2-40B4-BE49-F238E27FC236}">
              <a16:creationId xmlns:a16="http://schemas.microsoft.com/office/drawing/2014/main" id="{9F95360B-12D0-47F4-BDE0-8D77357FCF8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39" name="TextBox 1">
          <a:extLst>
            <a:ext uri="{FF2B5EF4-FFF2-40B4-BE49-F238E27FC236}">
              <a16:creationId xmlns:a16="http://schemas.microsoft.com/office/drawing/2014/main" id="{0D3873BD-1C52-4022-8500-8A68AAB2B7D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50A15CE1-F8B5-48BC-9FE8-674F495EC8C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5DC74A58-FDF9-479B-A069-39E28121D1B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2" name="TextBox 1">
          <a:extLst>
            <a:ext uri="{FF2B5EF4-FFF2-40B4-BE49-F238E27FC236}">
              <a16:creationId xmlns:a16="http://schemas.microsoft.com/office/drawing/2014/main" id="{529702C9-9A22-4FE6-92B7-3A5AB7A6B1A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3" name="TextBox 1">
          <a:extLst>
            <a:ext uri="{FF2B5EF4-FFF2-40B4-BE49-F238E27FC236}">
              <a16:creationId xmlns:a16="http://schemas.microsoft.com/office/drawing/2014/main" id="{F211126D-F70C-4BDA-9231-82CF3F0EA25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816DD954-C5AB-421A-9B0C-F86D30C4EE4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177D62C1-03AE-4B7C-9E98-CB2CC2887FE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6" name="TextBox 1">
          <a:extLst>
            <a:ext uri="{FF2B5EF4-FFF2-40B4-BE49-F238E27FC236}">
              <a16:creationId xmlns:a16="http://schemas.microsoft.com/office/drawing/2014/main" id="{7A8AE4B7-7065-4786-A5A9-165D9A5F75D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7" name="TextBox 1">
          <a:extLst>
            <a:ext uri="{FF2B5EF4-FFF2-40B4-BE49-F238E27FC236}">
              <a16:creationId xmlns:a16="http://schemas.microsoft.com/office/drawing/2014/main" id="{964584E2-4E55-419B-80F7-CBB71262000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6187E708-CE0D-4788-BEC9-0B88D62B73D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6EE1E1A4-C657-4CC2-A54A-AA22CBABEF8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0" name="TextBox 1">
          <a:extLst>
            <a:ext uri="{FF2B5EF4-FFF2-40B4-BE49-F238E27FC236}">
              <a16:creationId xmlns:a16="http://schemas.microsoft.com/office/drawing/2014/main" id="{6E9D3020-DAE1-4B8E-8269-92FA5E10B10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1" name="TextBox 1">
          <a:extLst>
            <a:ext uri="{FF2B5EF4-FFF2-40B4-BE49-F238E27FC236}">
              <a16:creationId xmlns:a16="http://schemas.microsoft.com/office/drawing/2014/main" id="{17D0F0AE-BDB8-46A0-8EFF-6469515D36B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BC560E1F-A16F-4788-8375-37A5B7A3C27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070A0948-4643-4F6A-9DFC-04A32197D7C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4" name="TextBox 1">
          <a:extLst>
            <a:ext uri="{FF2B5EF4-FFF2-40B4-BE49-F238E27FC236}">
              <a16:creationId xmlns:a16="http://schemas.microsoft.com/office/drawing/2014/main" id="{2D75884A-CC75-4379-954D-D60E8015803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5" name="TextBox 1">
          <a:extLst>
            <a:ext uri="{FF2B5EF4-FFF2-40B4-BE49-F238E27FC236}">
              <a16:creationId xmlns:a16="http://schemas.microsoft.com/office/drawing/2014/main" id="{F2D5BC69-B2AA-44B5-A031-693DA1DAA85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A6B008DC-2756-4752-8AA7-CEF1D0564F9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7" name="TextBox 1">
          <a:extLst>
            <a:ext uri="{FF2B5EF4-FFF2-40B4-BE49-F238E27FC236}">
              <a16:creationId xmlns:a16="http://schemas.microsoft.com/office/drawing/2014/main" id="{1A19EF0A-2397-47A5-8513-8F7B51F2A7F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8" name="TextBox 1">
          <a:extLst>
            <a:ext uri="{FF2B5EF4-FFF2-40B4-BE49-F238E27FC236}">
              <a16:creationId xmlns:a16="http://schemas.microsoft.com/office/drawing/2014/main" id="{C023DF21-F28E-40B5-B08E-F96FDDA165E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162A691C-92EC-4E61-87F9-F5C368089F6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0" name="TextBox 1">
          <a:extLst>
            <a:ext uri="{FF2B5EF4-FFF2-40B4-BE49-F238E27FC236}">
              <a16:creationId xmlns:a16="http://schemas.microsoft.com/office/drawing/2014/main" id="{F9AC475E-F5CB-4F80-83C8-0B669D3D4E0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C62DE7B0-5DBA-4D99-AA12-441DE2AC6E6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2" name="TextBox 1">
          <a:extLst>
            <a:ext uri="{FF2B5EF4-FFF2-40B4-BE49-F238E27FC236}">
              <a16:creationId xmlns:a16="http://schemas.microsoft.com/office/drawing/2014/main" id="{33A0A019-1D32-40B1-BBA2-1DA07D16B91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3" name="TextBox 1">
          <a:extLst>
            <a:ext uri="{FF2B5EF4-FFF2-40B4-BE49-F238E27FC236}">
              <a16:creationId xmlns:a16="http://schemas.microsoft.com/office/drawing/2014/main" id="{E63D415D-8BD8-4320-B823-EA055D85A6A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E7C7F0CE-BF43-4BE4-A5F2-59C296B5978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9FFB5641-B708-4229-AC84-BAB90E7CFCA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6" name="TextBox 1">
          <a:extLst>
            <a:ext uri="{FF2B5EF4-FFF2-40B4-BE49-F238E27FC236}">
              <a16:creationId xmlns:a16="http://schemas.microsoft.com/office/drawing/2014/main" id="{84845BFB-1545-4B10-899F-FC301776C37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7" name="TextBox 1">
          <a:extLst>
            <a:ext uri="{FF2B5EF4-FFF2-40B4-BE49-F238E27FC236}">
              <a16:creationId xmlns:a16="http://schemas.microsoft.com/office/drawing/2014/main" id="{79542286-F2D5-4168-B08B-70BC44BAC74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98AD6C2A-6CCF-4827-857C-89885B87051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4AA05D82-2CDF-4618-9622-A94B0198202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5C9D5029-53DB-4BE0-85A4-CD069823275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1" name="TextBox 1">
          <a:extLst>
            <a:ext uri="{FF2B5EF4-FFF2-40B4-BE49-F238E27FC236}">
              <a16:creationId xmlns:a16="http://schemas.microsoft.com/office/drawing/2014/main" id="{61E27157-52AB-48D7-8BDD-65D216D3194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2" name="TextBox 1">
          <a:extLst>
            <a:ext uri="{FF2B5EF4-FFF2-40B4-BE49-F238E27FC236}">
              <a16:creationId xmlns:a16="http://schemas.microsoft.com/office/drawing/2014/main" id="{D4C63F1E-44CF-4EA3-8F7B-D0F3CE8755A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61089B4F-5DB1-4900-BFE7-02007BD29DA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68D7E920-0658-4032-B330-CB539B258D1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5" name="TextBox 1">
          <a:extLst>
            <a:ext uri="{FF2B5EF4-FFF2-40B4-BE49-F238E27FC236}">
              <a16:creationId xmlns:a16="http://schemas.microsoft.com/office/drawing/2014/main" id="{FCEE938D-606E-4598-9A00-F982A1E33D5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6" name="TextBox 1">
          <a:extLst>
            <a:ext uri="{FF2B5EF4-FFF2-40B4-BE49-F238E27FC236}">
              <a16:creationId xmlns:a16="http://schemas.microsoft.com/office/drawing/2014/main" id="{5EF244D2-C91E-4E64-9A37-21D488D34FF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E4AEED7A-6CAC-4DE4-9560-0C5E4F7DD34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296D67DE-886E-43CC-9F1E-879E1CCACFF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79" name="TextBox 1">
          <a:extLst>
            <a:ext uri="{FF2B5EF4-FFF2-40B4-BE49-F238E27FC236}">
              <a16:creationId xmlns:a16="http://schemas.microsoft.com/office/drawing/2014/main" id="{1EE3B111-13C5-4809-BB8F-171EF6A348C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0" name="TextBox 1">
          <a:extLst>
            <a:ext uri="{FF2B5EF4-FFF2-40B4-BE49-F238E27FC236}">
              <a16:creationId xmlns:a16="http://schemas.microsoft.com/office/drawing/2014/main" id="{C7113E38-9D74-422E-B99C-BFEB50DF702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C5B8EABF-D491-4A05-A7D4-E28FDE59506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7903E8A6-9D80-45C3-9531-2104333FB6D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3" name="TextBox 1">
          <a:extLst>
            <a:ext uri="{FF2B5EF4-FFF2-40B4-BE49-F238E27FC236}">
              <a16:creationId xmlns:a16="http://schemas.microsoft.com/office/drawing/2014/main" id="{08772975-D362-4455-92BF-F85305C5547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4" name="TextBox 1">
          <a:extLst>
            <a:ext uri="{FF2B5EF4-FFF2-40B4-BE49-F238E27FC236}">
              <a16:creationId xmlns:a16="http://schemas.microsoft.com/office/drawing/2014/main" id="{4739D7A2-AC9A-4D70-8BBF-7A7D70A1C98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D91E4B20-3B4D-487C-AF63-73066F6EDFF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1DC025E3-D0EC-492A-A28F-E251FE00D31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7" name="TextBox 1">
          <a:extLst>
            <a:ext uri="{FF2B5EF4-FFF2-40B4-BE49-F238E27FC236}">
              <a16:creationId xmlns:a16="http://schemas.microsoft.com/office/drawing/2014/main" id="{5296D6AD-EF8C-4D0A-91C3-3DB44AD03E8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8" name="TextBox 1">
          <a:extLst>
            <a:ext uri="{FF2B5EF4-FFF2-40B4-BE49-F238E27FC236}">
              <a16:creationId xmlns:a16="http://schemas.microsoft.com/office/drawing/2014/main" id="{3C70D793-67F4-4094-AD4C-AD614CA2815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1F75B64A-9797-49A2-B714-655F64FE7EB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2700097C-9047-481C-B0DF-DC3DE41C066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1" name="TextBox 1">
          <a:extLst>
            <a:ext uri="{FF2B5EF4-FFF2-40B4-BE49-F238E27FC236}">
              <a16:creationId xmlns:a16="http://schemas.microsoft.com/office/drawing/2014/main" id="{13A3A18C-4EED-4273-832A-0408709DE9C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2" name="TextBox 1">
          <a:extLst>
            <a:ext uri="{FF2B5EF4-FFF2-40B4-BE49-F238E27FC236}">
              <a16:creationId xmlns:a16="http://schemas.microsoft.com/office/drawing/2014/main" id="{D10FDAF9-5189-4580-92BA-F90158331B6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A7A7D0F1-6814-4288-8136-2C0BE28E77E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41BDEAD6-341C-4C37-A40B-2F791622014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5" name="TextBox 1">
          <a:extLst>
            <a:ext uri="{FF2B5EF4-FFF2-40B4-BE49-F238E27FC236}">
              <a16:creationId xmlns:a16="http://schemas.microsoft.com/office/drawing/2014/main" id="{19DC9A5D-CAD3-47B0-8E34-D9173A13C2F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6" name="TextBox 1">
          <a:extLst>
            <a:ext uri="{FF2B5EF4-FFF2-40B4-BE49-F238E27FC236}">
              <a16:creationId xmlns:a16="http://schemas.microsoft.com/office/drawing/2014/main" id="{3A145189-9552-4268-BBE8-941BC64DFE1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0D98850C-816C-463C-AC40-8A71BBF36FA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2E73B619-CE76-4767-8FD0-AA5874A1CFF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399" name="TextBox 1">
          <a:extLst>
            <a:ext uri="{FF2B5EF4-FFF2-40B4-BE49-F238E27FC236}">
              <a16:creationId xmlns:a16="http://schemas.microsoft.com/office/drawing/2014/main" id="{E0281EC1-7832-4EB4-9D04-727585038B4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0" name="TextBox 1">
          <a:extLst>
            <a:ext uri="{FF2B5EF4-FFF2-40B4-BE49-F238E27FC236}">
              <a16:creationId xmlns:a16="http://schemas.microsoft.com/office/drawing/2014/main" id="{FD23E151-E7DB-4DFD-BABC-FCC44EC44A1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D9E96FFB-01FB-4F56-A6BC-0BFF754E474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FA941AFD-16CB-419F-A4CF-590A94BDA3B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3" name="TextBox 1">
          <a:extLst>
            <a:ext uri="{FF2B5EF4-FFF2-40B4-BE49-F238E27FC236}">
              <a16:creationId xmlns:a16="http://schemas.microsoft.com/office/drawing/2014/main" id="{9DCB9B73-60FD-4995-AEE3-9C2492CBE0E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4" name="TextBox 1">
          <a:extLst>
            <a:ext uri="{FF2B5EF4-FFF2-40B4-BE49-F238E27FC236}">
              <a16:creationId xmlns:a16="http://schemas.microsoft.com/office/drawing/2014/main" id="{EEF08117-1C36-42CB-B13C-6BA7C04DAAE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DEC9D833-8DBA-45A8-9C35-13A8D92F5A8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DC79651C-16C1-4ED7-8730-919EA43ADBE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EAF20BFF-7BC8-494B-B01F-CF3BA8B532F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8" name="TextBox 1">
          <a:extLst>
            <a:ext uri="{FF2B5EF4-FFF2-40B4-BE49-F238E27FC236}">
              <a16:creationId xmlns:a16="http://schemas.microsoft.com/office/drawing/2014/main" id="{45F30C9B-E113-4993-BDAD-11AF0D29B42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09" name="TextBox 1">
          <a:extLst>
            <a:ext uri="{FF2B5EF4-FFF2-40B4-BE49-F238E27FC236}">
              <a16:creationId xmlns:a16="http://schemas.microsoft.com/office/drawing/2014/main" id="{9D1F4230-9AE6-45A7-A08C-95667AC6B89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70A76457-E2FB-4368-80FE-E31FDFC61A2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CBFA5FA9-3C2B-4846-907A-40676922FA0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2" name="TextBox 1">
          <a:extLst>
            <a:ext uri="{FF2B5EF4-FFF2-40B4-BE49-F238E27FC236}">
              <a16:creationId xmlns:a16="http://schemas.microsoft.com/office/drawing/2014/main" id="{25E3EB9D-6E9D-41F3-BB64-705FB6DF552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3" name="TextBox 1">
          <a:extLst>
            <a:ext uri="{FF2B5EF4-FFF2-40B4-BE49-F238E27FC236}">
              <a16:creationId xmlns:a16="http://schemas.microsoft.com/office/drawing/2014/main" id="{E965F7A8-CB1C-4F39-9878-5C1E9362146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6D8FFE29-DD34-49CD-B5AF-CFA9C92B8EE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ED5D0DB0-E21F-4B5A-BAF0-8810AEFDE88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6" name="TextBox 1">
          <a:extLst>
            <a:ext uri="{FF2B5EF4-FFF2-40B4-BE49-F238E27FC236}">
              <a16:creationId xmlns:a16="http://schemas.microsoft.com/office/drawing/2014/main" id="{26E563FD-E9A2-4F5B-9A90-5C5F785E7F8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7" name="TextBox 1">
          <a:extLst>
            <a:ext uri="{FF2B5EF4-FFF2-40B4-BE49-F238E27FC236}">
              <a16:creationId xmlns:a16="http://schemas.microsoft.com/office/drawing/2014/main" id="{DAE601F3-7695-45C1-AC26-CB08BD79516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12E38CB5-21EC-4F6D-8A6A-3E3E7A9AAA0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3587CBBB-9A4B-4D75-98D5-F40618CB278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0" name="TextBox 1">
          <a:extLst>
            <a:ext uri="{FF2B5EF4-FFF2-40B4-BE49-F238E27FC236}">
              <a16:creationId xmlns:a16="http://schemas.microsoft.com/office/drawing/2014/main" id="{FBABA991-B80C-4439-8F07-01C4302AFBB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1" name="TextBox 1">
          <a:extLst>
            <a:ext uri="{FF2B5EF4-FFF2-40B4-BE49-F238E27FC236}">
              <a16:creationId xmlns:a16="http://schemas.microsoft.com/office/drawing/2014/main" id="{35782234-D706-4D7A-B520-0C69AE4D75E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7D31C6E6-E67A-41E0-9AE6-A7440F1AE98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18F156F5-FFA4-4D72-9934-19AC209ED0D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4" name="TextBox 1">
          <a:extLst>
            <a:ext uri="{FF2B5EF4-FFF2-40B4-BE49-F238E27FC236}">
              <a16:creationId xmlns:a16="http://schemas.microsoft.com/office/drawing/2014/main" id="{EB265A52-C5AA-4E3B-9E2C-072F5002723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5" name="TextBox 1">
          <a:extLst>
            <a:ext uri="{FF2B5EF4-FFF2-40B4-BE49-F238E27FC236}">
              <a16:creationId xmlns:a16="http://schemas.microsoft.com/office/drawing/2014/main" id="{EC96AE05-2483-49BA-9996-D35446D0967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39197664-79A6-4B13-93BA-D9FE4A63D9C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489BA362-5243-423C-9964-AE7120023BE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8" name="TextBox 1">
          <a:extLst>
            <a:ext uri="{FF2B5EF4-FFF2-40B4-BE49-F238E27FC236}">
              <a16:creationId xmlns:a16="http://schemas.microsoft.com/office/drawing/2014/main" id="{AFB90DC7-3E53-4C10-9A81-34AFADC8B12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29" name="TextBox 1">
          <a:extLst>
            <a:ext uri="{FF2B5EF4-FFF2-40B4-BE49-F238E27FC236}">
              <a16:creationId xmlns:a16="http://schemas.microsoft.com/office/drawing/2014/main" id="{1BF34476-EFFE-41E7-AB11-69DD4C9B477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AC5F6073-3461-40B7-B773-4128E43BB76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14A8EE9A-23C3-43B0-8326-28F141656BD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2" name="TextBox 1">
          <a:extLst>
            <a:ext uri="{FF2B5EF4-FFF2-40B4-BE49-F238E27FC236}">
              <a16:creationId xmlns:a16="http://schemas.microsoft.com/office/drawing/2014/main" id="{DF0D5126-BD03-43E7-916A-35348F3A843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3" name="TextBox 1">
          <a:extLst>
            <a:ext uri="{FF2B5EF4-FFF2-40B4-BE49-F238E27FC236}">
              <a16:creationId xmlns:a16="http://schemas.microsoft.com/office/drawing/2014/main" id="{5998201C-C37D-4CAA-89A1-E1CAB4E6D65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6F6AA540-7121-4739-9487-FEC4C48A208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02EE0730-86EA-4A7D-AC86-515CAC3513D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6" name="TextBox 1">
          <a:extLst>
            <a:ext uri="{FF2B5EF4-FFF2-40B4-BE49-F238E27FC236}">
              <a16:creationId xmlns:a16="http://schemas.microsoft.com/office/drawing/2014/main" id="{FA7FEA3A-3B5D-4ABC-A309-64A29A517BB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7" name="TextBox 1">
          <a:extLst>
            <a:ext uri="{FF2B5EF4-FFF2-40B4-BE49-F238E27FC236}">
              <a16:creationId xmlns:a16="http://schemas.microsoft.com/office/drawing/2014/main" id="{78F5FEB9-9FC7-4EEF-B53F-A08D9CFC29E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C4B70209-480A-4EA5-9BCD-B232554626E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389BE131-660C-4219-BAEB-6AA820FBD91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0" name="TextBox 1">
          <a:extLst>
            <a:ext uri="{FF2B5EF4-FFF2-40B4-BE49-F238E27FC236}">
              <a16:creationId xmlns:a16="http://schemas.microsoft.com/office/drawing/2014/main" id="{7DB8E87E-E6A6-4A04-BBBB-AC642A9F0CF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1" name="TextBox 1">
          <a:extLst>
            <a:ext uri="{FF2B5EF4-FFF2-40B4-BE49-F238E27FC236}">
              <a16:creationId xmlns:a16="http://schemas.microsoft.com/office/drawing/2014/main" id="{2A458EAB-0DB7-4E02-9845-8C3895FF12D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3472A5CA-E0D4-4B00-B35F-4DDBFB9C712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72B2D544-BFFB-44ED-AECC-A982BF3C7A1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4" name="TextBox 1">
          <a:extLst>
            <a:ext uri="{FF2B5EF4-FFF2-40B4-BE49-F238E27FC236}">
              <a16:creationId xmlns:a16="http://schemas.microsoft.com/office/drawing/2014/main" id="{122203B0-1696-440C-9AE5-400621C5205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5" name="TextBox 1">
          <a:extLst>
            <a:ext uri="{FF2B5EF4-FFF2-40B4-BE49-F238E27FC236}">
              <a16:creationId xmlns:a16="http://schemas.microsoft.com/office/drawing/2014/main" id="{6C7E5EA4-1365-4A7F-87B0-A361A5073DD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3AE62D8E-FC2B-4E7C-9412-D783C34F250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4BE990FE-584F-46C2-9050-6FC9DA8D349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8" name="TextBox 1">
          <a:extLst>
            <a:ext uri="{FF2B5EF4-FFF2-40B4-BE49-F238E27FC236}">
              <a16:creationId xmlns:a16="http://schemas.microsoft.com/office/drawing/2014/main" id="{2E5CDF73-F0B7-4B6B-ABC1-B35848F61F9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49" name="TextBox 1">
          <a:extLst>
            <a:ext uri="{FF2B5EF4-FFF2-40B4-BE49-F238E27FC236}">
              <a16:creationId xmlns:a16="http://schemas.microsoft.com/office/drawing/2014/main" id="{5B8528A3-B957-4888-AFA2-3C8A59F2151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3DFFE433-BA82-4B64-91B1-ADAB6545C05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1263AB77-28C7-4278-BF07-5A20F6D703A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6C41E863-DEBE-47D3-B6C9-1EA714C0466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3" name="TextBox 1">
          <a:extLst>
            <a:ext uri="{FF2B5EF4-FFF2-40B4-BE49-F238E27FC236}">
              <a16:creationId xmlns:a16="http://schemas.microsoft.com/office/drawing/2014/main" id="{7E8AA642-A280-484F-B8B5-F7EE2EFFE9D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4" name="TextBox 1">
          <a:extLst>
            <a:ext uri="{FF2B5EF4-FFF2-40B4-BE49-F238E27FC236}">
              <a16:creationId xmlns:a16="http://schemas.microsoft.com/office/drawing/2014/main" id="{4212EE66-2667-4113-B329-04A5F8C9071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195E78BD-62E4-4740-B48D-88C0C0C8DF8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D9752557-A558-49FF-9A2D-E6236AA5EE3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7" name="TextBox 1">
          <a:extLst>
            <a:ext uri="{FF2B5EF4-FFF2-40B4-BE49-F238E27FC236}">
              <a16:creationId xmlns:a16="http://schemas.microsoft.com/office/drawing/2014/main" id="{DBDBD654-28CF-404D-AF9A-9A6F8ADF52C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8" name="TextBox 1">
          <a:extLst>
            <a:ext uri="{FF2B5EF4-FFF2-40B4-BE49-F238E27FC236}">
              <a16:creationId xmlns:a16="http://schemas.microsoft.com/office/drawing/2014/main" id="{C20FB2B0-DEA6-4F3A-83CA-382CC5F1E09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D34625DE-31C6-4002-971D-A4E8DCF4ACF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C0702D62-CD42-43A1-BF43-8B7217CD07E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1" name="TextBox 1">
          <a:extLst>
            <a:ext uri="{FF2B5EF4-FFF2-40B4-BE49-F238E27FC236}">
              <a16:creationId xmlns:a16="http://schemas.microsoft.com/office/drawing/2014/main" id="{AE7186F0-78CC-4A58-B7E8-746F75354C5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2" name="TextBox 1">
          <a:extLst>
            <a:ext uri="{FF2B5EF4-FFF2-40B4-BE49-F238E27FC236}">
              <a16:creationId xmlns:a16="http://schemas.microsoft.com/office/drawing/2014/main" id="{80F151EA-C335-41CA-8968-3234C475873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2D5D3192-0CB1-49CC-BB4C-1C292B94353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AB1679BF-7356-421C-8206-1B57AF1FD34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5" name="TextBox 1">
          <a:extLst>
            <a:ext uri="{FF2B5EF4-FFF2-40B4-BE49-F238E27FC236}">
              <a16:creationId xmlns:a16="http://schemas.microsoft.com/office/drawing/2014/main" id="{1064C401-4312-4E24-B81B-994935976EE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6" name="TextBox 1">
          <a:extLst>
            <a:ext uri="{FF2B5EF4-FFF2-40B4-BE49-F238E27FC236}">
              <a16:creationId xmlns:a16="http://schemas.microsoft.com/office/drawing/2014/main" id="{448F3D7C-5D3F-41CF-B3C5-DDCF0DFCFF2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CC134017-FAF7-4929-8ED1-BD411FB2433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853662B7-F7E9-4D63-9462-CA18398335F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69" name="TextBox 1">
          <a:extLst>
            <a:ext uri="{FF2B5EF4-FFF2-40B4-BE49-F238E27FC236}">
              <a16:creationId xmlns:a16="http://schemas.microsoft.com/office/drawing/2014/main" id="{A4F7B4CB-E99E-41D4-B7CE-040A12F5478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0" name="TextBox 1">
          <a:extLst>
            <a:ext uri="{FF2B5EF4-FFF2-40B4-BE49-F238E27FC236}">
              <a16:creationId xmlns:a16="http://schemas.microsoft.com/office/drawing/2014/main" id="{96304F21-4051-4D83-972D-AEDEB9F86D3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41E329BF-1320-4CD5-ACF4-D31EEBB4F73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48EDA17D-C271-440B-9381-169035FCA3F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3" name="TextBox 1">
          <a:extLst>
            <a:ext uri="{FF2B5EF4-FFF2-40B4-BE49-F238E27FC236}">
              <a16:creationId xmlns:a16="http://schemas.microsoft.com/office/drawing/2014/main" id="{68C9AD10-2B13-46B1-90BF-EA8F9E12E5C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4" name="TextBox 1">
          <a:extLst>
            <a:ext uri="{FF2B5EF4-FFF2-40B4-BE49-F238E27FC236}">
              <a16:creationId xmlns:a16="http://schemas.microsoft.com/office/drawing/2014/main" id="{D5BBF941-03A5-4F94-AF6D-DB04C7093E0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FF7960F9-DE25-4B98-A5B7-ADE6423F302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630C222A-2559-4AA9-9567-DA6439E6470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7" name="TextBox 1">
          <a:extLst>
            <a:ext uri="{FF2B5EF4-FFF2-40B4-BE49-F238E27FC236}">
              <a16:creationId xmlns:a16="http://schemas.microsoft.com/office/drawing/2014/main" id="{B9649BA2-0D1F-4C3F-852F-AC600F73A6C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8" name="TextBox 1">
          <a:extLst>
            <a:ext uri="{FF2B5EF4-FFF2-40B4-BE49-F238E27FC236}">
              <a16:creationId xmlns:a16="http://schemas.microsoft.com/office/drawing/2014/main" id="{E436391D-4920-4152-9FA5-F1545C9EEAC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9B55E1AF-1B74-4A10-AA50-E61B5305C38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6B712783-962A-4318-AE5E-4F1AFEBAC40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1" name="TextBox 1">
          <a:extLst>
            <a:ext uri="{FF2B5EF4-FFF2-40B4-BE49-F238E27FC236}">
              <a16:creationId xmlns:a16="http://schemas.microsoft.com/office/drawing/2014/main" id="{0300D87E-4CB1-4AEC-A931-DFD90554C15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2" name="TextBox 1">
          <a:extLst>
            <a:ext uri="{FF2B5EF4-FFF2-40B4-BE49-F238E27FC236}">
              <a16:creationId xmlns:a16="http://schemas.microsoft.com/office/drawing/2014/main" id="{64F6349C-8487-42C9-8A14-E47CBDD9764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F2613CEB-F201-4A92-9A26-B6FBBBF408E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FA3F4A49-3A43-4070-89A1-7240C7F6438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5" name="TextBox 1">
          <a:extLst>
            <a:ext uri="{FF2B5EF4-FFF2-40B4-BE49-F238E27FC236}">
              <a16:creationId xmlns:a16="http://schemas.microsoft.com/office/drawing/2014/main" id="{5B38DEB5-7443-44A4-8AA8-331D720B299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6" name="TextBox 1">
          <a:extLst>
            <a:ext uri="{FF2B5EF4-FFF2-40B4-BE49-F238E27FC236}">
              <a16:creationId xmlns:a16="http://schemas.microsoft.com/office/drawing/2014/main" id="{6DD9D0E7-2540-4F50-B5FE-A899C5FA76A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4A1D38CD-A449-475E-80E5-261F5A29E0A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8" name="TextBox 1">
          <a:extLst>
            <a:ext uri="{FF2B5EF4-FFF2-40B4-BE49-F238E27FC236}">
              <a16:creationId xmlns:a16="http://schemas.microsoft.com/office/drawing/2014/main" id="{AEBB1BCB-1FCE-4E1C-9D0C-5DA6460D2A2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89" name="TextBox 1">
          <a:extLst>
            <a:ext uri="{FF2B5EF4-FFF2-40B4-BE49-F238E27FC236}">
              <a16:creationId xmlns:a16="http://schemas.microsoft.com/office/drawing/2014/main" id="{F09DBB6D-091C-4D08-8D1C-BA88F208A59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71C3A2B4-BB8F-4353-A7DB-8C2929E0587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1" name="TextBox 1">
          <a:extLst>
            <a:ext uri="{FF2B5EF4-FFF2-40B4-BE49-F238E27FC236}">
              <a16:creationId xmlns:a16="http://schemas.microsoft.com/office/drawing/2014/main" id="{89597D6F-DC5C-4616-A155-AA9389D8FEE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C35491B9-33C9-4526-BB16-8EDAD1046D5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3" name="TextBox 1">
          <a:extLst>
            <a:ext uri="{FF2B5EF4-FFF2-40B4-BE49-F238E27FC236}">
              <a16:creationId xmlns:a16="http://schemas.microsoft.com/office/drawing/2014/main" id="{E9D153C6-A362-4032-94D7-4EC7E8DF3F9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4" name="TextBox 1">
          <a:extLst>
            <a:ext uri="{FF2B5EF4-FFF2-40B4-BE49-F238E27FC236}">
              <a16:creationId xmlns:a16="http://schemas.microsoft.com/office/drawing/2014/main" id="{26B286CF-8A3A-4797-BDC5-46A0CDEDFE4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0B7056B7-A564-4C80-A0C5-144223FA066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6A6F235A-7D5B-4F97-BC0C-86F655EBC76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7" name="TextBox 1">
          <a:extLst>
            <a:ext uri="{FF2B5EF4-FFF2-40B4-BE49-F238E27FC236}">
              <a16:creationId xmlns:a16="http://schemas.microsoft.com/office/drawing/2014/main" id="{4F79D4AB-E81B-4BDF-AD6C-8814309455A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8" name="TextBox 1">
          <a:extLst>
            <a:ext uri="{FF2B5EF4-FFF2-40B4-BE49-F238E27FC236}">
              <a16:creationId xmlns:a16="http://schemas.microsoft.com/office/drawing/2014/main" id="{B7673AED-45A4-43D2-A439-4EE097D6EF5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7A5704B5-E22A-498B-A131-CF59C8EE82B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BE5F89E0-4468-4CD2-AAF0-28EB9048610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B7B04852-A089-4CA2-961E-31026D2E456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2" name="TextBox 1">
          <a:extLst>
            <a:ext uri="{FF2B5EF4-FFF2-40B4-BE49-F238E27FC236}">
              <a16:creationId xmlns:a16="http://schemas.microsoft.com/office/drawing/2014/main" id="{B73ADF23-ED06-4DA4-89C0-E765AA2D9B5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3" name="TextBox 1">
          <a:extLst>
            <a:ext uri="{FF2B5EF4-FFF2-40B4-BE49-F238E27FC236}">
              <a16:creationId xmlns:a16="http://schemas.microsoft.com/office/drawing/2014/main" id="{094B9846-BB72-4D24-B126-27EDB3E525C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918BBBD0-8E8F-495C-83D1-68A51E8A2A7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897880E4-C504-454C-852F-AD89DD57467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6" name="TextBox 1">
          <a:extLst>
            <a:ext uri="{FF2B5EF4-FFF2-40B4-BE49-F238E27FC236}">
              <a16:creationId xmlns:a16="http://schemas.microsoft.com/office/drawing/2014/main" id="{4DADDF22-E8DF-4D26-A9A0-152026B40DB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7" name="TextBox 1">
          <a:extLst>
            <a:ext uri="{FF2B5EF4-FFF2-40B4-BE49-F238E27FC236}">
              <a16:creationId xmlns:a16="http://schemas.microsoft.com/office/drawing/2014/main" id="{23D97D14-6DDC-4AA7-9299-003BABDA139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CF96C227-090F-4555-90AE-6AE6C73E88A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B6CBC849-7777-4ABB-87F6-306CA300EB2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0" name="TextBox 1">
          <a:extLst>
            <a:ext uri="{FF2B5EF4-FFF2-40B4-BE49-F238E27FC236}">
              <a16:creationId xmlns:a16="http://schemas.microsoft.com/office/drawing/2014/main" id="{FEF30B08-1BA1-4EFD-975C-6D8DED5ADB6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1" name="TextBox 1">
          <a:extLst>
            <a:ext uri="{FF2B5EF4-FFF2-40B4-BE49-F238E27FC236}">
              <a16:creationId xmlns:a16="http://schemas.microsoft.com/office/drawing/2014/main" id="{3A44D588-63A1-4183-BE3D-495A4C2DBF9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8D4B0377-8B35-4050-9187-57306DE5678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11F9129F-B9C2-4F26-95F0-CA5666F4F90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4" name="TextBox 1">
          <a:extLst>
            <a:ext uri="{FF2B5EF4-FFF2-40B4-BE49-F238E27FC236}">
              <a16:creationId xmlns:a16="http://schemas.microsoft.com/office/drawing/2014/main" id="{383BBEAC-D777-4E6C-B1C3-4ABF62CB943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5" name="TextBox 1">
          <a:extLst>
            <a:ext uri="{FF2B5EF4-FFF2-40B4-BE49-F238E27FC236}">
              <a16:creationId xmlns:a16="http://schemas.microsoft.com/office/drawing/2014/main" id="{FC9C0A92-FBFF-4CED-A1E7-96C997BD7EF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E93E0688-1378-45F2-A3B2-0FFDC15FD59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95BD67EF-4515-4504-B047-159CA022123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8" name="TextBox 1">
          <a:extLst>
            <a:ext uri="{FF2B5EF4-FFF2-40B4-BE49-F238E27FC236}">
              <a16:creationId xmlns:a16="http://schemas.microsoft.com/office/drawing/2014/main" id="{DA431863-F7E4-4B86-973B-B55DE721E7E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19" name="TextBox 1">
          <a:extLst>
            <a:ext uri="{FF2B5EF4-FFF2-40B4-BE49-F238E27FC236}">
              <a16:creationId xmlns:a16="http://schemas.microsoft.com/office/drawing/2014/main" id="{8859FDB0-1509-4D33-82B2-11EB8B3458B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FC98AA0E-8C4D-4436-AA08-3888C6DAC3B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9DFDDFB2-AB29-41FB-9B46-430D474AACA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2" name="TextBox 1">
          <a:extLst>
            <a:ext uri="{FF2B5EF4-FFF2-40B4-BE49-F238E27FC236}">
              <a16:creationId xmlns:a16="http://schemas.microsoft.com/office/drawing/2014/main" id="{CD5CAE93-60A2-4361-A2D9-209EF862992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3" name="TextBox 1">
          <a:extLst>
            <a:ext uri="{FF2B5EF4-FFF2-40B4-BE49-F238E27FC236}">
              <a16:creationId xmlns:a16="http://schemas.microsoft.com/office/drawing/2014/main" id="{E6168A3A-BB0E-4B49-B223-F720BD83F6F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5D116537-F591-40AD-A9CB-DD16C4D83AA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625AC5B8-FEA8-4D04-9E07-3537297F4BA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6" name="TextBox 1">
          <a:extLst>
            <a:ext uri="{FF2B5EF4-FFF2-40B4-BE49-F238E27FC236}">
              <a16:creationId xmlns:a16="http://schemas.microsoft.com/office/drawing/2014/main" id="{145916C0-337C-4600-820F-BF9C1D9AFC7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7" name="TextBox 1">
          <a:extLst>
            <a:ext uri="{FF2B5EF4-FFF2-40B4-BE49-F238E27FC236}">
              <a16:creationId xmlns:a16="http://schemas.microsoft.com/office/drawing/2014/main" id="{B769071A-7F0A-44C2-B4F9-42F2002CCAF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62C2B550-4456-4819-8D10-358CC4A0CB9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8B4D3310-A2BD-428F-A49C-2CD64734643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0" name="TextBox 1">
          <a:extLst>
            <a:ext uri="{FF2B5EF4-FFF2-40B4-BE49-F238E27FC236}">
              <a16:creationId xmlns:a16="http://schemas.microsoft.com/office/drawing/2014/main" id="{2D3E360F-D95C-4085-843A-3C03012C915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1" name="TextBox 1">
          <a:extLst>
            <a:ext uri="{FF2B5EF4-FFF2-40B4-BE49-F238E27FC236}">
              <a16:creationId xmlns:a16="http://schemas.microsoft.com/office/drawing/2014/main" id="{D2155F64-D888-415C-91EE-4CA55D596C0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7AEE8D12-4B69-4C0F-9A52-BF5BF975406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22C3116F-E28D-45CF-8AC4-323E4EAF1E6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4" name="TextBox 1">
          <a:extLst>
            <a:ext uri="{FF2B5EF4-FFF2-40B4-BE49-F238E27FC236}">
              <a16:creationId xmlns:a16="http://schemas.microsoft.com/office/drawing/2014/main" id="{90E361A2-0F34-4F4B-8D7B-B00AA89469F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5" name="TextBox 1">
          <a:extLst>
            <a:ext uri="{FF2B5EF4-FFF2-40B4-BE49-F238E27FC236}">
              <a16:creationId xmlns:a16="http://schemas.microsoft.com/office/drawing/2014/main" id="{C3F6F684-A464-4ACE-9851-E1FC643B86E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E134A1F5-B932-47EB-9EEF-3968B623002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BFD67562-01F6-4868-AEC6-4BF45F2E56B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5773BE1C-1489-4033-A053-D9ECE55A157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39" name="TextBox 1">
          <a:extLst>
            <a:ext uri="{FF2B5EF4-FFF2-40B4-BE49-F238E27FC236}">
              <a16:creationId xmlns:a16="http://schemas.microsoft.com/office/drawing/2014/main" id="{80A5E5D6-68A5-4C0A-81E8-20B5C139B83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0" name="TextBox 1">
          <a:extLst>
            <a:ext uri="{FF2B5EF4-FFF2-40B4-BE49-F238E27FC236}">
              <a16:creationId xmlns:a16="http://schemas.microsoft.com/office/drawing/2014/main" id="{3DBABC9A-D263-4F12-B23B-2FCB0FE0089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440F3B77-3816-4D9F-940B-C0B71FAC8ED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62A476AD-6884-413C-83D9-CA65F4C680F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3" name="TextBox 1">
          <a:extLst>
            <a:ext uri="{FF2B5EF4-FFF2-40B4-BE49-F238E27FC236}">
              <a16:creationId xmlns:a16="http://schemas.microsoft.com/office/drawing/2014/main" id="{5239AFE7-037D-4537-B884-EFAED215518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4" name="TextBox 1">
          <a:extLst>
            <a:ext uri="{FF2B5EF4-FFF2-40B4-BE49-F238E27FC236}">
              <a16:creationId xmlns:a16="http://schemas.microsoft.com/office/drawing/2014/main" id="{5181B3C7-3030-4D03-B1AE-6189EAB5CA8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5BCB901A-22FD-4119-A0D2-500C12DC467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5A31CA92-D65C-449E-85A9-5CA6C2273F7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7" name="TextBox 1">
          <a:extLst>
            <a:ext uri="{FF2B5EF4-FFF2-40B4-BE49-F238E27FC236}">
              <a16:creationId xmlns:a16="http://schemas.microsoft.com/office/drawing/2014/main" id="{C4707F46-9C74-4070-B8D3-D4273C8576E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8" name="TextBox 1">
          <a:extLst>
            <a:ext uri="{FF2B5EF4-FFF2-40B4-BE49-F238E27FC236}">
              <a16:creationId xmlns:a16="http://schemas.microsoft.com/office/drawing/2014/main" id="{E9C4F45F-A7DB-4C89-A3C3-E07D387E74D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CD9D3E52-ADF0-450E-8976-0621534EC97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57940F08-5F62-499F-8BB7-E6978DB73D6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1" name="TextBox 1">
          <a:extLst>
            <a:ext uri="{FF2B5EF4-FFF2-40B4-BE49-F238E27FC236}">
              <a16:creationId xmlns:a16="http://schemas.microsoft.com/office/drawing/2014/main" id="{C5E005FB-C6F9-4DF0-A468-86AD675239F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2" name="TextBox 1">
          <a:extLst>
            <a:ext uri="{FF2B5EF4-FFF2-40B4-BE49-F238E27FC236}">
              <a16:creationId xmlns:a16="http://schemas.microsoft.com/office/drawing/2014/main" id="{41564BE8-1041-4349-9825-4EBA981AB2C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30A8DAEF-89F4-4788-99C9-7EC63FB8A24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EB1C94D0-3B3A-470F-A0FE-8E074EC09C7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5" name="TextBox 1">
          <a:extLst>
            <a:ext uri="{FF2B5EF4-FFF2-40B4-BE49-F238E27FC236}">
              <a16:creationId xmlns:a16="http://schemas.microsoft.com/office/drawing/2014/main" id="{B0CB23EE-5B15-476B-B983-DD4DF5F765F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6" name="TextBox 1">
          <a:extLst>
            <a:ext uri="{FF2B5EF4-FFF2-40B4-BE49-F238E27FC236}">
              <a16:creationId xmlns:a16="http://schemas.microsoft.com/office/drawing/2014/main" id="{D064F9CA-0B13-49F7-A2EB-49BA35545F6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626630F2-2DB1-463D-AABB-F10AB02D238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3C8F9865-4D79-42F8-96C8-95C93A868B8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59" name="TextBox 1">
          <a:extLst>
            <a:ext uri="{FF2B5EF4-FFF2-40B4-BE49-F238E27FC236}">
              <a16:creationId xmlns:a16="http://schemas.microsoft.com/office/drawing/2014/main" id="{C8F4AB80-D6F7-4FA3-9603-A469DAE70A7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0" name="TextBox 1">
          <a:extLst>
            <a:ext uri="{FF2B5EF4-FFF2-40B4-BE49-F238E27FC236}">
              <a16:creationId xmlns:a16="http://schemas.microsoft.com/office/drawing/2014/main" id="{8BE7C4A7-DEDB-4AE2-8761-9925EE40F03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0F827E08-9DD0-459E-A03A-A1736256351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61031F16-D2A1-4673-8391-D3BDA3B6041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3" name="TextBox 1">
          <a:extLst>
            <a:ext uri="{FF2B5EF4-FFF2-40B4-BE49-F238E27FC236}">
              <a16:creationId xmlns:a16="http://schemas.microsoft.com/office/drawing/2014/main" id="{ACAD99CE-0477-42DD-8A2C-A95C28FF749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4" name="TextBox 1">
          <a:extLst>
            <a:ext uri="{FF2B5EF4-FFF2-40B4-BE49-F238E27FC236}">
              <a16:creationId xmlns:a16="http://schemas.microsoft.com/office/drawing/2014/main" id="{2EFE2A5D-2865-4DF9-9519-1852BCF87C7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C5ECE222-1178-456E-9C3B-2CA00E77AF9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741314EE-9460-4749-B4C2-C004997CAC7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7" name="TextBox 1">
          <a:extLst>
            <a:ext uri="{FF2B5EF4-FFF2-40B4-BE49-F238E27FC236}">
              <a16:creationId xmlns:a16="http://schemas.microsoft.com/office/drawing/2014/main" id="{CB6BAA38-7F09-4A72-84DE-6520035B771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8" name="TextBox 1">
          <a:extLst>
            <a:ext uri="{FF2B5EF4-FFF2-40B4-BE49-F238E27FC236}">
              <a16:creationId xmlns:a16="http://schemas.microsoft.com/office/drawing/2014/main" id="{E3BFF939-B260-4B01-B4BE-7A9355C3EE5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8277A2D0-435C-4538-9BFD-E52CB9E29D2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ED0B1CB8-1379-4ACA-88FC-6EF82E61CBC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1" name="TextBox 1">
          <a:extLst>
            <a:ext uri="{FF2B5EF4-FFF2-40B4-BE49-F238E27FC236}">
              <a16:creationId xmlns:a16="http://schemas.microsoft.com/office/drawing/2014/main" id="{75B6ABDB-8979-448E-8979-1BA4A678BBC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2" name="TextBox 1">
          <a:extLst>
            <a:ext uri="{FF2B5EF4-FFF2-40B4-BE49-F238E27FC236}">
              <a16:creationId xmlns:a16="http://schemas.microsoft.com/office/drawing/2014/main" id="{5CBE5C6C-355C-47F2-8BFD-B8035AA6F57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CB943A7C-F64A-440F-B8D4-443013109BE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C9F3EE1F-3337-4EED-A5C1-CEDB6FC4EA2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5" name="TextBox 1">
          <a:extLst>
            <a:ext uri="{FF2B5EF4-FFF2-40B4-BE49-F238E27FC236}">
              <a16:creationId xmlns:a16="http://schemas.microsoft.com/office/drawing/2014/main" id="{B2481943-A49C-4DD6-AD72-F9E9C4649FD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6" name="TextBox 1">
          <a:extLst>
            <a:ext uri="{FF2B5EF4-FFF2-40B4-BE49-F238E27FC236}">
              <a16:creationId xmlns:a16="http://schemas.microsoft.com/office/drawing/2014/main" id="{295CA040-597D-4F05-8747-4E5ECB80EFD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25CD465C-6A4E-49A0-A3E7-9E23E17E1CC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30703762-1CA9-4223-A633-27ADB6D757D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79" name="TextBox 1">
          <a:extLst>
            <a:ext uri="{FF2B5EF4-FFF2-40B4-BE49-F238E27FC236}">
              <a16:creationId xmlns:a16="http://schemas.microsoft.com/office/drawing/2014/main" id="{AB6DDC00-659E-44C5-913A-92E95397D3C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0" name="TextBox 1">
          <a:extLst>
            <a:ext uri="{FF2B5EF4-FFF2-40B4-BE49-F238E27FC236}">
              <a16:creationId xmlns:a16="http://schemas.microsoft.com/office/drawing/2014/main" id="{868244FA-B9DE-42DC-A29D-49142B8FFA5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F920917E-C035-4F8F-9157-F2EA6A4D46D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6FA6145D-B07E-4A68-9D58-E32E751A760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8876DECD-719D-4150-9ED6-2FE2D03E903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4" name="TextBox 1">
          <a:extLst>
            <a:ext uri="{FF2B5EF4-FFF2-40B4-BE49-F238E27FC236}">
              <a16:creationId xmlns:a16="http://schemas.microsoft.com/office/drawing/2014/main" id="{8E89F3EE-46D7-46B2-8CF8-D02D44F7866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5" name="TextBox 1">
          <a:extLst>
            <a:ext uri="{FF2B5EF4-FFF2-40B4-BE49-F238E27FC236}">
              <a16:creationId xmlns:a16="http://schemas.microsoft.com/office/drawing/2014/main" id="{549E182B-3536-4427-A3E5-7A33F729C71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33C0A5F3-5DC1-4A49-A757-D87F67F2A2B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CB63C98F-55FB-46D7-A5AC-42820368253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8" name="TextBox 1">
          <a:extLst>
            <a:ext uri="{FF2B5EF4-FFF2-40B4-BE49-F238E27FC236}">
              <a16:creationId xmlns:a16="http://schemas.microsoft.com/office/drawing/2014/main" id="{503BBBD6-86F7-403E-A607-C409523AAB2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89" name="TextBox 1">
          <a:extLst>
            <a:ext uri="{FF2B5EF4-FFF2-40B4-BE49-F238E27FC236}">
              <a16:creationId xmlns:a16="http://schemas.microsoft.com/office/drawing/2014/main" id="{A38E6340-00AD-46E9-9B90-E768FD266FB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C058A9DA-B93B-46FB-BB6C-6FA0AFC59E8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1C195116-A7D6-4B57-B620-6A09923864F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2" name="TextBox 1">
          <a:extLst>
            <a:ext uri="{FF2B5EF4-FFF2-40B4-BE49-F238E27FC236}">
              <a16:creationId xmlns:a16="http://schemas.microsoft.com/office/drawing/2014/main" id="{06FB3A95-7D6D-4622-AEB3-6A20EBDD60C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3" name="TextBox 1">
          <a:extLst>
            <a:ext uri="{FF2B5EF4-FFF2-40B4-BE49-F238E27FC236}">
              <a16:creationId xmlns:a16="http://schemas.microsoft.com/office/drawing/2014/main" id="{B1E7DCC2-580C-4EEF-A8A8-E79BC358D5A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5F73AEB8-1FC0-44E9-86E1-3E36423B50B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8F94AF8D-EDEE-43F4-8220-8E2D7CA9434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6" name="TextBox 1">
          <a:extLst>
            <a:ext uri="{FF2B5EF4-FFF2-40B4-BE49-F238E27FC236}">
              <a16:creationId xmlns:a16="http://schemas.microsoft.com/office/drawing/2014/main" id="{F9C38AC8-D41C-4E7C-B2B4-7F0F202D5C4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7" name="TextBox 1">
          <a:extLst>
            <a:ext uri="{FF2B5EF4-FFF2-40B4-BE49-F238E27FC236}">
              <a16:creationId xmlns:a16="http://schemas.microsoft.com/office/drawing/2014/main" id="{9D7A849B-E45A-415C-86E0-69D3EDDF2C1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C342B0B7-BDCF-45CB-A484-4527A62D4F6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9CD6BECA-7F9E-410C-89DC-A162211BBB0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0" name="TextBox 1">
          <a:extLst>
            <a:ext uri="{FF2B5EF4-FFF2-40B4-BE49-F238E27FC236}">
              <a16:creationId xmlns:a16="http://schemas.microsoft.com/office/drawing/2014/main" id="{CC373B06-9776-470B-9660-C9C0F634D23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1" name="TextBox 1">
          <a:extLst>
            <a:ext uri="{FF2B5EF4-FFF2-40B4-BE49-F238E27FC236}">
              <a16:creationId xmlns:a16="http://schemas.microsoft.com/office/drawing/2014/main" id="{0B30F137-5371-4290-BB9F-0953E31D847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9F5AD131-ED19-4248-92AC-15EAB2F2D4B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E9030884-D14B-4F91-AD4F-4A69B9E305F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4" name="TextBox 1">
          <a:extLst>
            <a:ext uri="{FF2B5EF4-FFF2-40B4-BE49-F238E27FC236}">
              <a16:creationId xmlns:a16="http://schemas.microsoft.com/office/drawing/2014/main" id="{31D1AA59-8DF7-4BEC-B579-AC83A96111E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5" name="TextBox 1">
          <a:extLst>
            <a:ext uri="{FF2B5EF4-FFF2-40B4-BE49-F238E27FC236}">
              <a16:creationId xmlns:a16="http://schemas.microsoft.com/office/drawing/2014/main" id="{E6011B66-EEA7-4CF9-96BD-996E53061FE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6B9C3562-3EC7-4C9E-AD0E-1BAC120847E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C15E9ADC-E233-44A2-852E-65B7793E5FD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8" name="TextBox 1">
          <a:extLst>
            <a:ext uri="{FF2B5EF4-FFF2-40B4-BE49-F238E27FC236}">
              <a16:creationId xmlns:a16="http://schemas.microsoft.com/office/drawing/2014/main" id="{475823EC-A5FC-48E4-9B5C-DEBA0340767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09" name="TextBox 1">
          <a:extLst>
            <a:ext uri="{FF2B5EF4-FFF2-40B4-BE49-F238E27FC236}">
              <a16:creationId xmlns:a16="http://schemas.microsoft.com/office/drawing/2014/main" id="{902DC1B0-DCD4-4FAF-96F5-0E3E0C13BFB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1BAADD3D-A758-47A5-BA65-E42B7FBE043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A7292A1F-8B7B-4579-BD4F-32C11A13B0E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2" name="TextBox 1">
          <a:extLst>
            <a:ext uri="{FF2B5EF4-FFF2-40B4-BE49-F238E27FC236}">
              <a16:creationId xmlns:a16="http://schemas.microsoft.com/office/drawing/2014/main" id="{FBB6C68C-C720-4CFC-83D2-C822A0016FD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3" name="TextBox 1">
          <a:extLst>
            <a:ext uri="{FF2B5EF4-FFF2-40B4-BE49-F238E27FC236}">
              <a16:creationId xmlns:a16="http://schemas.microsoft.com/office/drawing/2014/main" id="{650B468A-1AA7-4993-AFAD-6281587D241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B26B4C29-A43E-4249-805C-0E9CB756086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F26AB978-39EF-46AF-807F-7E73E160CE3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6" name="TextBox 1">
          <a:extLst>
            <a:ext uri="{FF2B5EF4-FFF2-40B4-BE49-F238E27FC236}">
              <a16:creationId xmlns:a16="http://schemas.microsoft.com/office/drawing/2014/main" id="{8DDEB76D-8C25-4071-86C1-3583EBDBB20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7" name="TextBox 1">
          <a:extLst>
            <a:ext uri="{FF2B5EF4-FFF2-40B4-BE49-F238E27FC236}">
              <a16:creationId xmlns:a16="http://schemas.microsoft.com/office/drawing/2014/main" id="{DCDDB9B7-9854-437A-987F-7A44FAAF3D2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9151AC1B-F527-4D8C-9C08-CE75C969E71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19" name="TextBox 1">
          <a:extLst>
            <a:ext uri="{FF2B5EF4-FFF2-40B4-BE49-F238E27FC236}">
              <a16:creationId xmlns:a16="http://schemas.microsoft.com/office/drawing/2014/main" id="{4EA01A37-DFE6-44EB-A1D8-CBA05CAAA20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0" name="TextBox 1">
          <a:extLst>
            <a:ext uri="{FF2B5EF4-FFF2-40B4-BE49-F238E27FC236}">
              <a16:creationId xmlns:a16="http://schemas.microsoft.com/office/drawing/2014/main" id="{B90A3B4F-A1F3-4DC6-A4D7-9E052822F9B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83A78402-7E49-4ED4-AD46-E4577F5D1DC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2" name="TextBox 1">
          <a:extLst>
            <a:ext uri="{FF2B5EF4-FFF2-40B4-BE49-F238E27FC236}">
              <a16:creationId xmlns:a16="http://schemas.microsoft.com/office/drawing/2014/main" id="{56021F1D-808F-460B-8A82-DBD6D4FB9D2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C37F684A-FF67-450E-9727-A73762BD436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4" name="TextBox 1">
          <a:extLst>
            <a:ext uri="{FF2B5EF4-FFF2-40B4-BE49-F238E27FC236}">
              <a16:creationId xmlns:a16="http://schemas.microsoft.com/office/drawing/2014/main" id="{F3830C66-5E6E-4F93-A2DF-63B8D5B3C9E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5" name="TextBox 1">
          <a:extLst>
            <a:ext uri="{FF2B5EF4-FFF2-40B4-BE49-F238E27FC236}">
              <a16:creationId xmlns:a16="http://schemas.microsoft.com/office/drawing/2014/main" id="{A065BFFF-9016-499D-A001-40DC83C62BA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91673F8A-A38C-47DB-A5D9-4FAD51B03C0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F9C8A5EC-71EA-412F-92B3-A9B8AA56677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8" name="TextBox 1">
          <a:extLst>
            <a:ext uri="{FF2B5EF4-FFF2-40B4-BE49-F238E27FC236}">
              <a16:creationId xmlns:a16="http://schemas.microsoft.com/office/drawing/2014/main" id="{337F1E0D-CDF2-42AD-9D12-7281932343F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29" name="TextBox 1">
          <a:extLst>
            <a:ext uri="{FF2B5EF4-FFF2-40B4-BE49-F238E27FC236}">
              <a16:creationId xmlns:a16="http://schemas.microsoft.com/office/drawing/2014/main" id="{FF82C6F5-1343-4611-8840-EF14D352C65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C92E6B74-0FFA-4681-99F4-152D372101B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F3F9E81D-19E8-48DD-BEB0-4408DB76D75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388F8CDE-CBCD-4E9A-8A00-B4D106C7427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3" name="TextBox 1">
          <a:extLst>
            <a:ext uri="{FF2B5EF4-FFF2-40B4-BE49-F238E27FC236}">
              <a16:creationId xmlns:a16="http://schemas.microsoft.com/office/drawing/2014/main" id="{7390843F-7D6E-49C3-9D42-DD746F21340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4" name="TextBox 1">
          <a:extLst>
            <a:ext uri="{FF2B5EF4-FFF2-40B4-BE49-F238E27FC236}">
              <a16:creationId xmlns:a16="http://schemas.microsoft.com/office/drawing/2014/main" id="{925161BB-B0B5-4A79-86A6-486FE44A638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479EDC28-393F-465E-9B0F-F5DF3F7E4B2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2C937726-2F11-4D0F-89C6-4DA30C6CFEA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7" name="TextBox 1">
          <a:extLst>
            <a:ext uri="{FF2B5EF4-FFF2-40B4-BE49-F238E27FC236}">
              <a16:creationId xmlns:a16="http://schemas.microsoft.com/office/drawing/2014/main" id="{DCD1F280-6D4A-4719-83A1-49DB6C24D4A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8" name="TextBox 1">
          <a:extLst>
            <a:ext uri="{FF2B5EF4-FFF2-40B4-BE49-F238E27FC236}">
              <a16:creationId xmlns:a16="http://schemas.microsoft.com/office/drawing/2014/main" id="{9CBBCB8B-E1ED-445F-A4A8-C0D8B83C9D7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98C30726-C307-4586-9DBA-6AB103BC2E6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4AE639D2-3CA5-4155-A55A-EB79803586D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1" name="TextBox 1">
          <a:extLst>
            <a:ext uri="{FF2B5EF4-FFF2-40B4-BE49-F238E27FC236}">
              <a16:creationId xmlns:a16="http://schemas.microsoft.com/office/drawing/2014/main" id="{A2D546DA-0F6C-4AC3-B1A9-C256A44FFDD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2" name="TextBox 1">
          <a:extLst>
            <a:ext uri="{FF2B5EF4-FFF2-40B4-BE49-F238E27FC236}">
              <a16:creationId xmlns:a16="http://schemas.microsoft.com/office/drawing/2014/main" id="{3F6C75C8-0ABB-4D35-AF5D-BDAABBCF51D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B1FAB537-A8D1-44F8-9DCE-A7936F22006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36DEE54C-1902-488C-9B55-709B6560ACC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5" name="TextBox 1">
          <a:extLst>
            <a:ext uri="{FF2B5EF4-FFF2-40B4-BE49-F238E27FC236}">
              <a16:creationId xmlns:a16="http://schemas.microsoft.com/office/drawing/2014/main" id="{4B1E918A-2BDD-439D-B20A-307CFBC65E3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6" name="TextBox 1">
          <a:extLst>
            <a:ext uri="{FF2B5EF4-FFF2-40B4-BE49-F238E27FC236}">
              <a16:creationId xmlns:a16="http://schemas.microsoft.com/office/drawing/2014/main" id="{3D581778-0D96-4D8D-8FB1-B381B914E86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5E5CB2AD-A579-49D9-873D-BD6035B3B46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5BB44A13-FDC0-4590-BB5F-46D09D70518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49" name="TextBox 1">
          <a:extLst>
            <a:ext uri="{FF2B5EF4-FFF2-40B4-BE49-F238E27FC236}">
              <a16:creationId xmlns:a16="http://schemas.microsoft.com/office/drawing/2014/main" id="{843DF963-BB5C-4945-B6D7-6F025A9E7A8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0" name="TextBox 1">
          <a:extLst>
            <a:ext uri="{FF2B5EF4-FFF2-40B4-BE49-F238E27FC236}">
              <a16:creationId xmlns:a16="http://schemas.microsoft.com/office/drawing/2014/main" id="{EF2C70E7-ADC1-4196-888C-5CE28F8E0B6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07BFDBD5-0DA1-436B-96D7-E55BFE1A972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7B9894FD-3904-444B-BBE3-31369956292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3" name="TextBox 1">
          <a:extLst>
            <a:ext uri="{FF2B5EF4-FFF2-40B4-BE49-F238E27FC236}">
              <a16:creationId xmlns:a16="http://schemas.microsoft.com/office/drawing/2014/main" id="{9D9A61EE-8089-4AD6-9002-80489A4E7FB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4" name="TextBox 1">
          <a:extLst>
            <a:ext uri="{FF2B5EF4-FFF2-40B4-BE49-F238E27FC236}">
              <a16:creationId xmlns:a16="http://schemas.microsoft.com/office/drawing/2014/main" id="{753609E0-AFAB-4EDA-BD4C-1DC060B73F1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54978B3E-1C84-4802-9FFA-A1302556A45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C44B31C7-A9CE-4EAB-8B9B-5B2C928AB08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7" name="TextBox 1">
          <a:extLst>
            <a:ext uri="{FF2B5EF4-FFF2-40B4-BE49-F238E27FC236}">
              <a16:creationId xmlns:a16="http://schemas.microsoft.com/office/drawing/2014/main" id="{C6625890-BA15-4789-82E0-99A1DD9D5BE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8" name="TextBox 1">
          <a:extLst>
            <a:ext uri="{FF2B5EF4-FFF2-40B4-BE49-F238E27FC236}">
              <a16:creationId xmlns:a16="http://schemas.microsoft.com/office/drawing/2014/main" id="{6D41DFFC-0639-46A6-85C6-89B4096323D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73B5CC1E-5B9A-476F-94BD-77049CAA5BB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2F248CB2-AA42-4B91-ACD4-79D26C59D3A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1" name="TextBox 1">
          <a:extLst>
            <a:ext uri="{FF2B5EF4-FFF2-40B4-BE49-F238E27FC236}">
              <a16:creationId xmlns:a16="http://schemas.microsoft.com/office/drawing/2014/main" id="{33924480-C998-4DD5-BC43-0E20551B356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2" name="TextBox 1">
          <a:extLst>
            <a:ext uri="{FF2B5EF4-FFF2-40B4-BE49-F238E27FC236}">
              <a16:creationId xmlns:a16="http://schemas.microsoft.com/office/drawing/2014/main" id="{D35C9B70-12A5-4C88-B4A0-01C1CCC7290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BFE7433E-5EDA-4556-B8AD-4783A18C438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D6A5EC2E-4CBD-47A8-B166-D3171CCEE5D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5" name="TextBox 1">
          <a:extLst>
            <a:ext uri="{FF2B5EF4-FFF2-40B4-BE49-F238E27FC236}">
              <a16:creationId xmlns:a16="http://schemas.microsoft.com/office/drawing/2014/main" id="{A7F613AE-D716-486E-852E-675B2AF5628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6" name="TextBox 1">
          <a:extLst>
            <a:ext uri="{FF2B5EF4-FFF2-40B4-BE49-F238E27FC236}">
              <a16:creationId xmlns:a16="http://schemas.microsoft.com/office/drawing/2014/main" id="{ADAE999A-EFBD-4B9B-BBA1-54F7D11A423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5EBB0397-291C-4563-843C-2DC5343C6EA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786F5EC9-92FF-44F7-AFA5-CF067D907FD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0D89EE7F-A762-49C7-B1F5-010C5BACD87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0" name="TextBox 1">
          <a:extLst>
            <a:ext uri="{FF2B5EF4-FFF2-40B4-BE49-F238E27FC236}">
              <a16:creationId xmlns:a16="http://schemas.microsoft.com/office/drawing/2014/main" id="{1DD376C8-7681-4578-AED4-F1513B93E85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1" name="TextBox 1">
          <a:extLst>
            <a:ext uri="{FF2B5EF4-FFF2-40B4-BE49-F238E27FC236}">
              <a16:creationId xmlns:a16="http://schemas.microsoft.com/office/drawing/2014/main" id="{76428E26-3813-47A6-B657-4CB785011EF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FD54E62A-D474-4EFD-A203-977372F2944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28769E3D-EF29-4511-B5FB-5416AB0CB7F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4" name="TextBox 1">
          <a:extLst>
            <a:ext uri="{FF2B5EF4-FFF2-40B4-BE49-F238E27FC236}">
              <a16:creationId xmlns:a16="http://schemas.microsoft.com/office/drawing/2014/main" id="{811DF570-046F-4D3C-9B57-095C3786C78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5" name="TextBox 1">
          <a:extLst>
            <a:ext uri="{FF2B5EF4-FFF2-40B4-BE49-F238E27FC236}">
              <a16:creationId xmlns:a16="http://schemas.microsoft.com/office/drawing/2014/main" id="{BF561DA9-1E7E-42A8-954E-37260BC095C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44D63AB0-2893-4203-9F9D-F41F25E689A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C349DEFC-B6F0-4EFC-9214-B2D91652E81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8" name="TextBox 1">
          <a:extLst>
            <a:ext uri="{FF2B5EF4-FFF2-40B4-BE49-F238E27FC236}">
              <a16:creationId xmlns:a16="http://schemas.microsoft.com/office/drawing/2014/main" id="{2DE5C57C-6B97-4388-98EC-471BF8F32C9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79" name="TextBox 1">
          <a:extLst>
            <a:ext uri="{FF2B5EF4-FFF2-40B4-BE49-F238E27FC236}">
              <a16:creationId xmlns:a16="http://schemas.microsoft.com/office/drawing/2014/main" id="{CF5497B5-BF24-4968-A72C-5F1D449F2B5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802258CD-72D9-4BFD-B42E-86AD6BEB711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75BC7FA1-2A0B-4A9A-997B-B7F7184E900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2" name="TextBox 1">
          <a:extLst>
            <a:ext uri="{FF2B5EF4-FFF2-40B4-BE49-F238E27FC236}">
              <a16:creationId xmlns:a16="http://schemas.microsoft.com/office/drawing/2014/main" id="{08D060AF-0F94-4931-A050-601F0608373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3" name="TextBox 1">
          <a:extLst>
            <a:ext uri="{FF2B5EF4-FFF2-40B4-BE49-F238E27FC236}">
              <a16:creationId xmlns:a16="http://schemas.microsoft.com/office/drawing/2014/main" id="{2E40E0D8-F2A3-4974-8D4B-773030C3491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CD9ED51D-3697-45F6-9680-8229692C418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2A4739E1-CAE4-4DB7-9CCB-13F551D9762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6" name="TextBox 1">
          <a:extLst>
            <a:ext uri="{FF2B5EF4-FFF2-40B4-BE49-F238E27FC236}">
              <a16:creationId xmlns:a16="http://schemas.microsoft.com/office/drawing/2014/main" id="{E8C048FD-A7D0-4C9C-8D8D-42322093F82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7" name="TextBox 1">
          <a:extLst>
            <a:ext uri="{FF2B5EF4-FFF2-40B4-BE49-F238E27FC236}">
              <a16:creationId xmlns:a16="http://schemas.microsoft.com/office/drawing/2014/main" id="{A7CFBC2B-DA5F-457B-8697-946BEF546E0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8FF5A5EF-2071-4219-834D-AE8A62ED317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452E2514-E16F-4E54-8A3F-49D40328F96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0" name="TextBox 1">
          <a:extLst>
            <a:ext uri="{FF2B5EF4-FFF2-40B4-BE49-F238E27FC236}">
              <a16:creationId xmlns:a16="http://schemas.microsoft.com/office/drawing/2014/main" id="{23CE5896-2E24-4C65-9FB8-BE03FC46C93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1" name="TextBox 1">
          <a:extLst>
            <a:ext uri="{FF2B5EF4-FFF2-40B4-BE49-F238E27FC236}">
              <a16:creationId xmlns:a16="http://schemas.microsoft.com/office/drawing/2014/main" id="{7ED99253-0FFD-4338-9548-3096ED01BD0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81791F1A-2B74-4316-90E7-1C91CFED5B9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FDB4AC20-B773-45D6-BADC-F394C6AEB15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4" name="TextBox 1">
          <a:extLst>
            <a:ext uri="{FF2B5EF4-FFF2-40B4-BE49-F238E27FC236}">
              <a16:creationId xmlns:a16="http://schemas.microsoft.com/office/drawing/2014/main" id="{BDF14526-B212-409F-A7A3-C45771BD729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5" name="TextBox 1">
          <a:extLst>
            <a:ext uri="{FF2B5EF4-FFF2-40B4-BE49-F238E27FC236}">
              <a16:creationId xmlns:a16="http://schemas.microsoft.com/office/drawing/2014/main" id="{C66E18C9-BBC2-4A36-B78E-40675DFE096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62489317-7320-44CD-9665-2FACDB70043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0B941274-3D89-4E6D-A248-87AB5A78950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8" name="TextBox 1">
          <a:extLst>
            <a:ext uri="{FF2B5EF4-FFF2-40B4-BE49-F238E27FC236}">
              <a16:creationId xmlns:a16="http://schemas.microsoft.com/office/drawing/2014/main" id="{07B964EF-4998-4AF7-884E-5B765BAEF89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699" name="TextBox 1">
          <a:extLst>
            <a:ext uri="{FF2B5EF4-FFF2-40B4-BE49-F238E27FC236}">
              <a16:creationId xmlns:a16="http://schemas.microsoft.com/office/drawing/2014/main" id="{35129A21-5BB5-493E-9B72-A1E3B2B0B45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43C7D6D1-1E25-471B-A1BD-D7E1794B2C2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7935D722-CD8E-47C1-A54C-499D538C2A9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2" name="TextBox 1">
          <a:extLst>
            <a:ext uri="{FF2B5EF4-FFF2-40B4-BE49-F238E27FC236}">
              <a16:creationId xmlns:a16="http://schemas.microsoft.com/office/drawing/2014/main" id="{911F5338-2D62-4718-B6A1-E09F733F9CD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3" name="TextBox 1">
          <a:extLst>
            <a:ext uri="{FF2B5EF4-FFF2-40B4-BE49-F238E27FC236}">
              <a16:creationId xmlns:a16="http://schemas.microsoft.com/office/drawing/2014/main" id="{BD58D892-1F27-47C8-9AF9-B1B1AEE0B91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8C25A2E2-216B-4C27-995F-BA4CB43E8B5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6FE99149-815D-402D-9AF0-C3F3F42620C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6" name="TextBox 1">
          <a:extLst>
            <a:ext uri="{FF2B5EF4-FFF2-40B4-BE49-F238E27FC236}">
              <a16:creationId xmlns:a16="http://schemas.microsoft.com/office/drawing/2014/main" id="{BD796B29-CBE8-4546-8D94-3D6EFCF7F59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7" name="TextBox 1">
          <a:extLst>
            <a:ext uri="{FF2B5EF4-FFF2-40B4-BE49-F238E27FC236}">
              <a16:creationId xmlns:a16="http://schemas.microsoft.com/office/drawing/2014/main" id="{38110BED-59B1-43A8-BDC5-E893E8B1817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3DEDCEC9-A157-4099-A5DB-EDD99A24618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879C9F0F-57DA-41B8-B258-9CC7F4DAD9A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0" name="TextBox 1">
          <a:extLst>
            <a:ext uri="{FF2B5EF4-FFF2-40B4-BE49-F238E27FC236}">
              <a16:creationId xmlns:a16="http://schemas.microsoft.com/office/drawing/2014/main" id="{A6A9E47F-F573-4D7E-9D37-026E7792DAE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1" name="TextBox 1">
          <a:extLst>
            <a:ext uri="{FF2B5EF4-FFF2-40B4-BE49-F238E27FC236}">
              <a16:creationId xmlns:a16="http://schemas.microsoft.com/office/drawing/2014/main" id="{219052AB-52B4-4F92-8BB6-B8110FACD1B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7488F273-DD81-4D16-B19C-8A876DB48E5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AA66DA4E-FB86-4BCF-8AAD-C42F47C6CA9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67452991-FE11-4564-A8B9-68078567D01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5" name="TextBox 1">
          <a:extLst>
            <a:ext uri="{FF2B5EF4-FFF2-40B4-BE49-F238E27FC236}">
              <a16:creationId xmlns:a16="http://schemas.microsoft.com/office/drawing/2014/main" id="{C73056F9-85EA-4714-9EED-674F2EB4ED9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6" name="TextBox 1">
          <a:extLst>
            <a:ext uri="{FF2B5EF4-FFF2-40B4-BE49-F238E27FC236}">
              <a16:creationId xmlns:a16="http://schemas.microsoft.com/office/drawing/2014/main" id="{0FDE93AB-9EEE-4364-A200-0F2284132AF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75D42652-5599-477C-991F-593F94FD4BE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A890075E-BE5B-47F6-B130-CB8158E43E1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19" name="TextBox 1">
          <a:extLst>
            <a:ext uri="{FF2B5EF4-FFF2-40B4-BE49-F238E27FC236}">
              <a16:creationId xmlns:a16="http://schemas.microsoft.com/office/drawing/2014/main" id="{D3A9CD4E-9075-45AE-85BC-2528988B709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0" name="TextBox 1">
          <a:extLst>
            <a:ext uri="{FF2B5EF4-FFF2-40B4-BE49-F238E27FC236}">
              <a16:creationId xmlns:a16="http://schemas.microsoft.com/office/drawing/2014/main" id="{EEC6274A-441F-4F83-9C93-D159C66A8D7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45ACE97B-68ED-4466-A9BB-B19ADD0B90D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133644EB-0304-4ADD-896C-3757E0DEF2E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3" name="TextBox 1">
          <a:extLst>
            <a:ext uri="{FF2B5EF4-FFF2-40B4-BE49-F238E27FC236}">
              <a16:creationId xmlns:a16="http://schemas.microsoft.com/office/drawing/2014/main" id="{975767A2-B059-483A-AB26-49C9986803E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4" name="TextBox 1">
          <a:extLst>
            <a:ext uri="{FF2B5EF4-FFF2-40B4-BE49-F238E27FC236}">
              <a16:creationId xmlns:a16="http://schemas.microsoft.com/office/drawing/2014/main" id="{4CB87D20-A4E8-4E82-8BAF-1A94B2D1A6D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389CBF84-7124-4185-B081-DC296486B5F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C72EB9BA-0CBF-4559-B7E1-82F83C5A11C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7" name="TextBox 1">
          <a:extLst>
            <a:ext uri="{FF2B5EF4-FFF2-40B4-BE49-F238E27FC236}">
              <a16:creationId xmlns:a16="http://schemas.microsoft.com/office/drawing/2014/main" id="{0D030EA2-84D7-47D3-8C91-F7B1A68A7C8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8" name="TextBox 1">
          <a:extLst>
            <a:ext uri="{FF2B5EF4-FFF2-40B4-BE49-F238E27FC236}">
              <a16:creationId xmlns:a16="http://schemas.microsoft.com/office/drawing/2014/main" id="{11EAEF51-F2A9-4808-87FA-D948A8C382C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B4431C46-4B16-4FDE-B066-37BCFB0A5EB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6AE675E1-C373-4F75-83A4-00E4B4B944F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1" name="TextBox 1">
          <a:extLst>
            <a:ext uri="{FF2B5EF4-FFF2-40B4-BE49-F238E27FC236}">
              <a16:creationId xmlns:a16="http://schemas.microsoft.com/office/drawing/2014/main" id="{545061F8-FD7A-4126-9D76-07BA362A64D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2" name="TextBox 1">
          <a:extLst>
            <a:ext uri="{FF2B5EF4-FFF2-40B4-BE49-F238E27FC236}">
              <a16:creationId xmlns:a16="http://schemas.microsoft.com/office/drawing/2014/main" id="{07ADC2BD-908C-4918-B0E1-67C2439A930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DF2D1F8B-2FA5-48B9-ACB8-DC7E988D0A2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8255DC2B-D871-4834-B6A7-3BB837B8C31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5" name="TextBox 1">
          <a:extLst>
            <a:ext uri="{FF2B5EF4-FFF2-40B4-BE49-F238E27FC236}">
              <a16:creationId xmlns:a16="http://schemas.microsoft.com/office/drawing/2014/main" id="{EE2E4FBD-BC81-4F6A-A03D-2361B614BE5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6" name="TextBox 1">
          <a:extLst>
            <a:ext uri="{FF2B5EF4-FFF2-40B4-BE49-F238E27FC236}">
              <a16:creationId xmlns:a16="http://schemas.microsoft.com/office/drawing/2014/main" id="{97EC466C-3682-43CB-A48B-7056C27C400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961DF96D-0DF9-4623-8E14-96C1F77EDAE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C3D226E9-191A-4B86-A83D-2CCD4348893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39" name="TextBox 1">
          <a:extLst>
            <a:ext uri="{FF2B5EF4-FFF2-40B4-BE49-F238E27FC236}">
              <a16:creationId xmlns:a16="http://schemas.microsoft.com/office/drawing/2014/main" id="{608C826F-98CD-40B5-87A5-3170922DBA6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0" name="TextBox 1">
          <a:extLst>
            <a:ext uri="{FF2B5EF4-FFF2-40B4-BE49-F238E27FC236}">
              <a16:creationId xmlns:a16="http://schemas.microsoft.com/office/drawing/2014/main" id="{B3747CA9-1CC7-41C5-ADBE-DBEAD6CD0BE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A82F4FE5-B044-43E2-9CC3-0B008F8EE8D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D817D065-5B1C-4E3E-A3E5-FBEAB771453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3" name="TextBox 1">
          <a:extLst>
            <a:ext uri="{FF2B5EF4-FFF2-40B4-BE49-F238E27FC236}">
              <a16:creationId xmlns:a16="http://schemas.microsoft.com/office/drawing/2014/main" id="{AB2FE4FE-DA92-403C-9426-A681CCE76FD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4" name="TextBox 1">
          <a:extLst>
            <a:ext uri="{FF2B5EF4-FFF2-40B4-BE49-F238E27FC236}">
              <a16:creationId xmlns:a16="http://schemas.microsoft.com/office/drawing/2014/main" id="{B47D3B6B-AB0B-40A7-A71D-C1BCF280CBA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87089F63-9925-49B0-9545-E1CA0E37EC2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03F9611E-DDBE-492A-95A7-032A008C213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7" name="TextBox 1">
          <a:extLst>
            <a:ext uri="{FF2B5EF4-FFF2-40B4-BE49-F238E27FC236}">
              <a16:creationId xmlns:a16="http://schemas.microsoft.com/office/drawing/2014/main" id="{1004EACA-46E2-4198-B832-1EE956D7754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8" name="TextBox 1">
          <a:extLst>
            <a:ext uri="{FF2B5EF4-FFF2-40B4-BE49-F238E27FC236}">
              <a16:creationId xmlns:a16="http://schemas.microsoft.com/office/drawing/2014/main" id="{E9D76BE9-E748-4767-AC96-A8B4D22F19C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4C7D84FC-1196-4275-9938-8E41D88EE96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0" name="TextBox 1">
          <a:extLst>
            <a:ext uri="{FF2B5EF4-FFF2-40B4-BE49-F238E27FC236}">
              <a16:creationId xmlns:a16="http://schemas.microsoft.com/office/drawing/2014/main" id="{C5484133-DBAD-49DB-9903-48DF0A7D11E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1" name="TextBox 1">
          <a:extLst>
            <a:ext uri="{FF2B5EF4-FFF2-40B4-BE49-F238E27FC236}">
              <a16:creationId xmlns:a16="http://schemas.microsoft.com/office/drawing/2014/main" id="{E6094952-FD8E-45CE-AF5D-ED8C41BB091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6573A82A-B24A-4D45-8A5B-3BD5A91B762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3" name="TextBox 1">
          <a:extLst>
            <a:ext uri="{FF2B5EF4-FFF2-40B4-BE49-F238E27FC236}">
              <a16:creationId xmlns:a16="http://schemas.microsoft.com/office/drawing/2014/main" id="{6DE1D5AE-0028-43F2-BE70-D9E370165FD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323A93D8-7C61-4828-8723-994AC092DE3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5" name="TextBox 1">
          <a:extLst>
            <a:ext uri="{FF2B5EF4-FFF2-40B4-BE49-F238E27FC236}">
              <a16:creationId xmlns:a16="http://schemas.microsoft.com/office/drawing/2014/main" id="{C40C5B3E-2A43-4FE7-8C92-43246CEE99E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6" name="TextBox 1">
          <a:extLst>
            <a:ext uri="{FF2B5EF4-FFF2-40B4-BE49-F238E27FC236}">
              <a16:creationId xmlns:a16="http://schemas.microsoft.com/office/drawing/2014/main" id="{DC46EFC4-29F4-4A13-BE01-AF233EA15F2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BECCDEFB-19BF-4079-8D7E-6B1B7C7E2D7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171AE438-075A-4920-B4EF-27327286E00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59" name="TextBox 1">
          <a:extLst>
            <a:ext uri="{FF2B5EF4-FFF2-40B4-BE49-F238E27FC236}">
              <a16:creationId xmlns:a16="http://schemas.microsoft.com/office/drawing/2014/main" id="{8E96AA94-5E9D-45DD-B464-5E6BBD05537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0" name="TextBox 1">
          <a:extLst>
            <a:ext uri="{FF2B5EF4-FFF2-40B4-BE49-F238E27FC236}">
              <a16:creationId xmlns:a16="http://schemas.microsoft.com/office/drawing/2014/main" id="{E942FDAB-91E5-4A60-8965-5C5A74E6FE2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B139C65A-B13B-487D-938C-08A2D5B8005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95C5266C-5C13-4640-8FE9-D679808039B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E11A3FFE-2A4C-490C-8FBA-363F51A16E4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4" name="TextBox 1">
          <a:extLst>
            <a:ext uri="{FF2B5EF4-FFF2-40B4-BE49-F238E27FC236}">
              <a16:creationId xmlns:a16="http://schemas.microsoft.com/office/drawing/2014/main" id="{F452E2D7-74F4-44A5-A430-BF770ADE642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5" name="TextBox 1">
          <a:extLst>
            <a:ext uri="{FF2B5EF4-FFF2-40B4-BE49-F238E27FC236}">
              <a16:creationId xmlns:a16="http://schemas.microsoft.com/office/drawing/2014/main" id="{02E9D949-0C8D-4C0B-849F-57644E73E01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DC2ABECA-BC70-41B9-8794-F1234950D63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6A8E8C12-BAFA-4EBD-B712-276A6FCB494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8" name="TextBox 1">
          <a:extLst>
            <a:ext uri="{FF2B5EF4-FFF2-40B4-BE49-F238E27FC236}">
              <a16:creationId xmlns:a16="http://schemas.microsoft.com/office/drawing/2014/main" id="{EE7B2595-72B4-4A66-9AE2-3BD8EE867F5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69" name="TextBox 1">
          <a:extLst>
            <a:ext uri="{FF2B5EF4-FFF2-40B4-BE49-F238E27FC236}">
              <a16:creationId xmlns:a16="http://schemas.microsoft.com/office/drawing/2014/main" id="{F76BAB84-A42C-4031-8BB2-2D2B59F0CE6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ECE8CC09-7293-4E93-BA65-9AE2890D34D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ED0224A0-0FBF-40FC-B496-D3713E73FF6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2" name="TextBox 1">
          <a:extLst>
            <a:ext uri="{FF2B5EF4-FFF2-40B4-BE49-F238E27FC236}">
              <a16:creationId xmlns:a16="http://schemas.microsoft.com/office/drawing/2014/main" id="{E7E227B1-41FB-47DD-A295-12B58713D69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3" name="TextBox 1">
          <a:extLst>
            <a:ext uri="{FF2B5EF4-FFF2-40B4-BE49-F238E27FC236}">
              <a16:creationId xmlns:a16="http://schemas.microsoft.com/office/drawing/2014/main" id="{1D897F1F-960D-4BFA-9158-8009BA1E41F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AEA38FB3-C248-4E2C-B334-EA6950D8AEC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4D6077C7-EAF2-4C90-96F9-A3B3A2AF513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6" name="TextBox 1">
          <a:extLst>
            <a:ext uri="{FF2B5EF4-FFF2-40B4-BE49-F238E27FC236}">
              <a16:creationId xmlns:a16="http://schemas.microsoft.com/office/drawing/2014/main" id="{DD9069AB-DD1D-4101-A938-8909E2EBF68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7" name="TextBox 1">
          <a:extLst>
            <a:ext uri="{FF2B5EF4-FFF2-40B4-BE49-F238E27FC236}">
              <a16:creationId xmlns:a16="http://schemas.microsoft.com/office/drawing/2014/main" id="{FC18242C-016C-4607-92EF-66FB1AF1CEB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81B6C542-BD28-4BA2-8784-AB09AEBCD8B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C7EA4BF1-7BE7-4761-BE27-845B5CF1B74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0" name="TextBox 1">
          <a:extLst>
            <a:ext uri="{FF2B5EF4-FFF2-40B4-BE49-F238E27FC236}">
              <a16:creationId xmlns:a16="http://schemas.microsoft.com/office/drawing/2014/main" id="{ADBDBA1A-F140-4C2D-8967-80FA66F56C2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1" name="TextBox 1">
          <a:extLst>
            <a:ext uri="{FF2B5EF4-FFF2-40B4-BE49-F238E27FC236}">
              <a16:creationId xmlns:a16="http://schemas.microsoft.com/office/drawing/2014/main" id="{3755BB2A-0EF3-470F-86A1-D8D212080F0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756D712A-6CE8-4D6F-9C32-F89F206435A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ABCECE4D-08AD-4A54-8833-ABBCDE2DF65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4" name="TextBox 1">
          <a:extLst>
            <a:ext uri="{FF2B5EF4-FFF2-40B4-BE49-F238E27FC236}">
              <a16:creationId xmlns:a16="http://schemas.microsoft.com/office/drawing/2014/main" id="{91FD9F99-05CD-4E93-95F8-5183E79C642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5" name="TextBox 1">
          <a:extLst>
            <a:ext uri="{FF2B5EF4-FFF2-40B4-BE49-F238E27FC236}">
              <a16:creationId xmlns:a16="http://schemas.microsoft.com/office/drawing/2014/main" id="{CF4BD647-BD83-4016-B1DD-FC0D078F0D6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242B67F4-F225-4306-A814-2CACF7DC949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A6123D06-A6D3-4552-ABD4-7EA2CC0BBBE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8" name="TextBox 1">
          <a:extLst>
            <a:ext uri="{FF2B5EF4-FFF2-40B4-BE49-F238E27FC236}">
              <a16:creationId xmlns:a16="http://schemas.microsoft.com/office/drawing/2014/main" id="{5AC96C6E-B2D9-4719-9C02-8B2A88835CF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89" name="TextBox 1">
          <a:extLst>
            <a:ext uri="{FF2B5EF4-FFF2-40B4-BE49-F238E27FC236}">
              <a16:creationId xmlns:a16="http://schemas.microsoft.com/office/drawing/2014/main" id="{410FC5D1-E5C8-4468-A2DA-945948DFA13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88688E88-7412-4DF2-B4C7-C166E1EF218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9B5C8451-7691-437E-BE2F-EC9A8CDA76B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2" name="TextBox 1">
          <a:extLst>
            <a:ext uri="{FF2B5EF4-FFF2-40B4-BE49-F238E27FC236}">
              <a16:creationId xmlns:a16="http://schemas.microsoft.com/office/drawing/2014/main" id="{51289AA9-F669-45A6-A316-717F60514B5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3" name="TextBox 1">
          <a:extLst>
            <a:ext uri="{FF2B5EF4-FFF2-40B4-BE49-F238E27FC236}">
              <a16:creationId xmlns:a16="http://schemas.microsoft.com/office/drawing/2014/main" id="{1FD07308-821E-4792-9E40-FF700EE0D0C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A57F05B7-6CA5-40FA-BFA9-5C781EC0379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2F4F8398-9320-4727-B09B-9451E8BB873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6" name="TextBox 1">
          <a:extLst>
            <a:ext uri="{FF2B5EF4-FFF2-40B4-BE49-F238E27FC236}">
              <a16:creationId xmlns:a16="http://schemas.microsoft.com/office/drawing/2014/main" id="{48D9F24D-4F56-4BB3-A047-A01CDC584C7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7" name="TextBox 1">
          <a:extLst>
            <a:ext uri="{FF2B5EF4-FFF2-40B4-BE49-F238E27FC236}">
              <a16:creationId xmlns:a16="http://schemas.microsoft.com/office/drawing/2014/main" id="{D33B6B68-0F99-4862-82AE-FA219459F66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F3B8ECC0-DF33-49F8-A77F-14B2070E24B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5198E18E-8E2B-4B6B-A9DE-832F145CFC1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DBBAD546-AFB8-4967-994F-CB94108C3C7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1" name="TextBox 1">
          <a:extLst>
            <a:ext uri="{FF2B5EF4-FFF2-40B4-BE49-F238E27FC236}">
              <a16:creationId xmlns:a16="http://schemas.microsoft.com/office/drawing/2014/main" id="{49533457-FFFB-482B-93D1-A26D2DFC3AA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2" name="TextBox 1">
          <a:extLst>
            <a:ext uri="{FF2B5EF4-FFF2-40B4-BE49-F238E27FC236}">
              <a16:creationId xmlns:a16="http://schemas.microsoft.com/office/drawing/2014/main" id="{2D417C00-251F-46F9-B5D8-2F55EECADA5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7EEFB85A-D79F-4314-9CA1-AE8F1D3F323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FBA67E88-4F63-4251-B4A4-7229D8E6864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5" name="TextBox 1">
          <a:extLst>
            <a:ext uri="{FF2B5EF4-FFF2-40B4-BE49-F238E27FC236}">
              <a16:creationId xmlns:a16="http://schemas.microsoft.com/office/drawing/2014/main" id="{898D0C67-49EB-430D-8F49-1DBB4D0345A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6" name="TextBox 1">
          <a:extLst>
            <a:ext uri="{FF2B5EF4-FFF2-40B4-BE49-F238E27FC236}">
              <a16:creationId xmlns:a16="http://schemas.microsoft.com/office/drawing/2014/main" id="{8859FA5C-10A3-47CB-939C-27B865C309A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66601F5A-1F45-4994-82D8-5B3FC978215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13B3F189-31AC-4917-BD8C-BD1C5934478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09" name="TextBox 1">
          <a:extLst>
            <a:ext uri="{FF2B5EF4-FFF2-40B4-BE49-F238E27FC236}">
              <a16:creationId xmlns:a16="http://schemas.microsoft.com/office/drawing/2014/main" id="{5CEE3357-4B7B-4C9D-9786-EAE4DCFA158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0" name="TextBox 1">
          <a:extLst>
            <a:ext uri="{FF2B5EF4-FFF2-40B4-BE49-F238E27FC236}">
              <a16:creationId xmlns:a16="http://schemas.microsoft.com/office/drawing/2014/main" id="{CC9B816A-66CE-4E74-9CC9-477478C2BDC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C93D37CB-CBDE-4090-988A-47B79507BC8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73DE032E-045C-488A-B44A-AEC9F941AC8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3" name="TextBox 1">
          <a:extLst>
            <a:ext uri="{FF2B5EF4-FFF2-40B4-BE49-F238E27FC236}">
              <a16:creationId xmlns:a16="http://schemas.microsoft.com/office/drawing/2014/main" id="{320B70F1-582B-454E-A7A0-EF17D36EC54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4" name="TextBox 1">
          <a:extLst>
            <a:ext uri="{FF2B5EF4-FFF2-40B4-BE49-F238E27FC236}">
              <a16:creationId xmlns:a16="http://schemas.microsoft.com/office/drawing/2014/main" id="{0DBAA565-73C7-487B-9561-E634E457F85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2301E9F1-DAC2-4CA2-8C3F-14756A66239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852E27B0-51C8-4BF6-BCD8-1924460A3B1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7" name="TextBox 1">
          <a:extLst>
            <a:ext uri="{FF2B5EF4-FFF2-40B4-BE49-F238E27FC236}">
              <a16:creationId xmlns:a16="http://schemas.microsoft.com/office/drawing/2014/main" id="{72D0BBC9-017B-453A-9E0F-C5213930A5A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8" name="TextBox 1">
          <a:extLst>
            <a:ext uri="{FF2B5EF4-FFF2-40B4-BE49-F238E27FC236}">
              <a16:creationId xmlns:a16="http://schemas.microsoft.com/office/drawing/2014/main" id="{70EE7D68-B35D-4129-BA97-A51673FD302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8083C0E5-924C-4B1F-98E5-DBEF46C6E81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B364CBF2-4838-4DEC-B76A-8D3BFECE6FD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1" name="TextBox 1">
          <a:extLst>
            <a:ext uri="{FF2B5EF4-FFF2-40B4-BE49-F238E27FC236}">
              <a16:creationId xmlns:a16="http://schemas.microsoft.com/office/drawing/2014/main" id="{2C13D2CE-E93B-42CF-8283-F9F4D288608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2" name="TextBox 1">
          <a:extLst>
            <a:ext uri="{FF2B5EF4-FFF2-40B4-BE49-F238E27FC236}">
              <a16:creationId xmlns:a16="http://schemas.microsoft.com/office/drawing/2014/main" id="{6DA5BB0B-3241-4348-BA44-1686BCA7BC2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E6347559-D49B-4E74-9F7D-2F60D5C92DE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5B9EE436-D77D-4C6B-9167-A141DE7BBA2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5" name="TextBox 1">
          <a:extLst>
            <a:ext uri="{FF2B5EF4-FFF2-40B4-BE49-F238E27FC236}">
              <a16:creationId xmlns:a16="http://schemas.microsoft.com/office/drawing/2014/main" id="{534C4671-4C62-4309-89A0-2346BFA13EA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6" name="TextBox 1">
          <a:extLst>
            <a:ext uri="{FF2B5EF4-FFF2-40B4-BE49-F238E27FC236}">
              <a16:creationId xmlns:a16="http://schemas.microsoft.com/office/drawing/2014/main" id="{B459EF63-52E8-423B-8840-90F654DAA69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80029CD0-8370-4B30-B77B-505FDECC806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14022973-B7D3-436B-B440-E0702CE61F2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29" name="TextBox 1">
          <a:extLst>
            <a:ext uri="{FF2B5EF4-FFF2-40B4-BE49-F238E27FC236}">
              <a16:creationId xmlns:a16="http://schemas.microsoft.com/office/drawing/2014/main" id="{9E81C1F5-4B95-4B33-9A13-0539E8D2F0D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0" name="TextBox 1">
          <a:extLst>
            <a:ext uri="{FF2B5EF4-FFF2-40B4-BE49-F238E27FC236}">
              <a16:creationId xmlns:a16="http://schemas.microsoft.com/office/drawing/2014/main" id="{8A5A4508-FEEA-476B-A3D4-CC0FC4D98A0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53885BD2-77BE-4E1C-B2B6-3CFA1A969BA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345201B1-48FA-4F97-86E5-03232E499C3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3" name="TextBox 1">
          <a:extLst>
            <a:ext uri="{FF2B5EF4-FFF2-40B4-BE49-F238E27FC236}">
              <a16:creationId xmlns:a16="http://schemas.microsoft.com/office/drawing/2014/main" id="{4A1A85AC-5B35-4E90-B003-76FB2889EEC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4" name="TextBox 1">
          <a:extLst>
            <a:ext uri="{FF2B5EF4-FFF2-40B4-BE49-F238E27FC236}">
              <a16:creationId xmlns:a16="http://schemas.microsoft.com/office/drawing/2014/main" id="{5B38F783-3748-4C09-8379-5B2EE1F4465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25E2C8F9-E8D0-40B6-95CB-45B5ADE3A5F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B292F369-A7E7-4454-A309-493425F13E0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7" name="TextBox 1">
          <a:extLst>
            <a:ext uri="{FF2B5EF4-FFF2-40B4-BE49-F238E27FC236}">
              <a16:creationId xmlns:a16="http://schemas.microsoft.com/office/drawing/2014/main" id="{31304858-63DB-4D5F-917E-155186382BA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8" name="TextBox 1">
          <a:extLst>
            <a:ext uri="{FF2B5EF4-FFF2-40B4-BE49-F238E27FC236}">
              <a16:creationId xmlns:a16="http://schemas.microsoft.com/office/drawing/2014/main" id="{265FAC1B-B47A-4901-8DC8-162A80E1300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A1BF5CE1-FCDE-4154-98AA-1876C735ECC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FAB434C8-806E-4298-9D96-7B6CB32BD62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1" name="TextBox 1">
          <a:extLst>
            <a:ext uri="{FF2B5EF4-FFF2-40B4-BE49-F238E27FC236}">
              <a16:creationId xmlns:a16="http://schemas.microsoft.com/office/drawing/2014/main" id="{ABCF04D5-CD6F-487E-9E58-8D82A1DAC6A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2" name="TextBox 1">
          <a:extLst>
            <a:ext uri="{FF2B5EF4-FFF2-40B4-BE49-F238E27FC236}">
              <a16:creationId xmlns:a16="http://schemas.microsoft.com/office/drawing/2014/main" id="{6A046493-EC6A-4517-8762-5B3F7C07ADD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76C8EC61-AF91-4441-AB3F-2F0FEE3BC0C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F456F10F-25F0-4ACA-B29F-0A27DEE40C9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ADB16818-3EB0-4554-ADD0-B7A3F180E85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6" name="TextBox 1">
          <a:extLst>
            <a:ext uri="{FF2B5EF4-FFF2-40B4-BE49-F238E27FC236}">
              <a16:creationId xmlns:a16="http://schemas.microsoft.com/office/drawing/2014/main" id="{8A6B0748-C372-47EB-9D59-953A06EA59D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7" name="TextBox 1">
          <a:extLst>
            <a:ext uri="{FF2B5EF4-FFF2-40B4-BE49-F238E27FC236}">
              <a16:creationId xmlns:a16="http://schemas.microsoft.com/office/drawing/2014/main" id="{188B246A-C4B8-4A61-A4CA-198708BCBB1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F104A9C4-4084-4923-8689-2473011DA6C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BA5324A9-376E-4796-90C7-3107274E960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0" name="TextBox 1">
          <a:extLst>
            <a:ext uri="{FF2B5EF4-FFF2-40B4-BE49-F238E27FC236}">
              <a16:creationId xmlns:a16="http://schemas.microsoft.com/office/drawing/2014/main" id="{633C37D8-62D3-434A-ABD9-06F99D631A0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1" name="TextBox 1">
          <a:extLst>
            <a:ext uri="{FF2B5EF4-FFF2-40B4-BE49-F238E27FC236}">
              <a16:creationId xmlns:a16="http://schemas.microsoft.com/office/drawing/2014/main" id="{499702AE-CC80-4528-8E9C-A955E827A1B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BEC9A54C-CEE4-458C-B549-AB69D882669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CAD596DD-2452-4010-B284-87EE8760491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4" name="TextBox 1">
          <a:extLst>
            <a:ext uri="{FF2B5EF4-FFF2-40B4-BE49-F238E27FC236}">
              <a16:creationId xmlns:a16="http://schemas.microsoft.com/office/drawing/2014/main" id="{5E866B8D-84BA-4D78-922F-35295574A65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5" name="TextBox 1">
          <a:extLst>
            <a:ext uri="{FF2B5EF4-FFF2-40B4-BE49-F238E27FC236}">
              <a16:creationId xmlns:a16="http://schemas.microsoft.com/office/drawing/2014/main" id="{BC7F23F9-EF3D-44B6-884F-E04FD420E72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A5C4AA4F-B900-45F2-9D18-1AB9DC49879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FE32C43F-B1F8-499A-9A0E-BF3ED2F657D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8" name="TextBox 1">
          <a:extLst>
            <a:ext uri="{FF2B5EF4-FFF2-40B4-BE49-F238E27FC236}">
              <a16:creationId xmlns:a16="http://schemas.microsoft.com/office/drawing/2014/main" id="{757B7E60-C1FA-46CC-829D-D806731D7F6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59" name="TextBox 1">
          <a:extLst>
            <a:ext uri="{FF2B5EF4-FFF2-40B4-BE49-F238E27FC236}">
              <a16:creationId xmlns:a16="http://schemas.microsoft.com/office/drawing/2014/main" id="{492D638C-05D1-4D5F-93F7-F4BF15532A2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A93A1397-A261-4F1B-84FC-06565901989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D31C2D19-819B-43A6-8FFD-6691CCFFA31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2" name="TextBox 1">
          <a:extLst>
            <a:ext uri="{FF2B5EF4-FFF2-40B4-BE49-F238E27FC236}">
              <a16:creationId xmlns:a16="http://schemas.microsoft.com/office/drawing/2014/main" id="{5C4DFA66-F414-4484-8697-43CE49F4FD0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3" name="TextBox 1">
          <a:extLst>
            <a:ext uri="{FF2B5EF4-FFF2-40B4-BE49-F238E27FC236}">
              <a16:creationId xmlns:a16="http://schemas.microsoft.com/office/drawing/2014/main" id="{3DF10FA9-0CB8-4333-ADCD-2568EC0817E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8EACF691-6D2F-4007-950C-A12EE36DEC8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3EA55A9D-FFA3-4309-8D01-CC76D9E1588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6" name="TextBox 1">
          <a:extLst>
            <a:ext uri="{FF2B5EF4-FFF2-40B4-BE49-F238E27FC236}">
              <a16:creationId xmlns:a16="http://schemas.microsoft.com/office/drawing/2014/main" id="{16AA614E-E237-4FFA-8C01-982791CAB6F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7" name="TextBox 1">
          <a:extLst>
            <a:ext uri="{FF2B5EF4-FFF2-40B4-BE49-F238E27FC236}">
              <a16:creationId xmlns:a16="http://schemas.microsoft.com/office/drawing/2014/main" id="{DD199FC9-0FE8-4A71-875D-B31AB705ECD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06FFCF4C-B3F7-4706-9C32-6275E7AE9F8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E69CFCF4-F1B5-44F2-855C-540EF9B69F9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0" name="TextBox 1">
          <a:extLst>
            <a:ext uri="{FF2B5EF4-FFF2-40B4-BE49-F238E27FC236}">
              <a16:creationId xmlns:a16="http://schemas.microsoft.com/office/drawing/2014/main" id="{489A1C6B-C70E-4255-B6E2-3C844A2DD4E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1" name="TextBox 1">
          <a:extLst>
            <a:ext uri="{FF2B5EF4-FFF2-40B4-BE49-F238E27FC236}">
              <a16:creationId xmlns:a16="http://schemas.microsoft.com/office/drawing/2014/main" id="{23500B3A-C51C-4961-886C-4737014FC92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E742F657-6C49-4EBA-B37F-5DAA18CF2CB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7A79E878-741A-4180-9562-1AC347ED93A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4" name="TextBox 1">
          <a:extLst>
            <a:ext uri="{FF2B5EF4-FFF2-40B4-BE49-F238E27FC236}">
              <a16:creationId xmlns:a16="http://schemas.microsoft.com/office/drawing/2014/main" id="{4ACD9156-55A9-41FC-8735-B9036E900A1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5" name="TextBox 1">
          <a:extLst>
            <a:ext uri="{FF2B5EF4-FFF2-40B4-BE49-F238E27FC236}">
              <a16:creationId xmlns:a16="http://schemas.microsoft.com/office/drawing/2014/main" id="{68988065-D096-4630-9CAB-DFC7C1DEB92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AE5F17BD-49BF-48AA-A035-21667190511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F52A53C6-22CE-4F86-8773-8CF2D613FB6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8" name="TextBox 1">
          <a:extLst>
            <a:ext uri="{FF2B5EF4-FFF2-40B4-BE49-F238E27FC236}">
              <a16:creationId xmlns:a16="http://schemas.microsoft.com/office/drawing/2014/main" id="{C8347D3B-C238-452F-8197-A4C232637AD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79" name="TextBox 1">
          <a:extLst>
            <a:ext uri="{FF2B5EF4-FFF2-40B4-BE49-F238E27FC236}">
              <a16:creationId xmlns:a16="http://schemas.microsoft.com/office/drawing/2014/main" id="{C86A1DE0-103F-496C-8733-87AC4827C38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F93994B2-7C79-4BF4-9177-4DC5F598547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1" name="TextBox 1">
          <a:extLst>
            <a:ext uri="{FF2B5EF4-FFF2-40B4-BE49-F238E27FC236}">
              <a16:creationId xmlns:a16="http://schemas.microsoft.com/office/drawing/2014/main" id="{BF8FC9F1-3039-43FD-8971-978B4E4B4DF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2" name="TextBox 1">
          <a:extLst>
            <a:ext uri="{FF2B5EF4-FFF2-40B4-BE49-F238E27FC236}">
              <a16:creationId xmlns:a16="http://schemas.microsoft.com/office/drawing/2014/main" id="{58B0D4D0-84DC-45F3-81BE-1BA89D9CE45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D9D5CCFC-7F5C-41AA-BEDE-46B0884E3AD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4" name="TextBox 1">
          <a:extLst>
            <a:ext uri="{FF2B5EF4-FFF2-40B4-BE49-F238E27FC236}">
              <a16:creationId xmlns:a16="http://schemas.microsoft.com/office/drawing/2014/main" id="{15E299AB-94CA-4464-A7F7-433DF90F9C1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6208225A-CB58-4DE3-B65C-3B76EB73C7A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6" name="TextBox 1">
          <a:extLst>
            <a:ext uri="{FF2B5EF4-FFF2-40B4-BE49-F238E27FC236}">
              <a16:creationId xmlns:a16="http://schemas.microsoft.com/office/drawing/2014/main" id="{3B4ED8F4-E460-4FBC-B56A-3C719D60AD5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7" name="TextBox 1">
          <a:extLst>
            <a:ext uri="{FF2B5EF4-FFF2-40B4-BE49-F238E27FC236}">
              <a16:creationId xmlns:a16="http://schemas.microsoft.com/office/drawing/2014/main" id="{67A9BBD1-5AA7-4735-9678-3EBD14BDC88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71159B6B-54E4-42C2-8FBC-75696078B32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122F9F47-2F9E-481A-91D0-FD78B5602A6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0" name="TextBox 1">
          <a:extLst>
            <a:ext uri="{FF2B5EF4-FFF2-40B4-BE49-F238E27FC236}">
              <a16:creationId xmlns:a16="http://schemas.microsoft.com/office/drawing/2014/main" id="{500C3A90-AE4E-494A-98FA-77D1EF217D6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1" name="TextBox 1">
          <a:extLst>
            <a:ext uri="{FF2B5EF4-FFF2-40B4-BE49-F238E27FC236}">
              <a16:creationId xmlns:a16="http://schemas.microsoft.com/office/drawing/2014/main" id="{CC6F8C2F-0025-4927-B133-C6596E4B8BD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9862464A-01B3-4DA3-853E-7E1ABC81C36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17243ED9-96FA-4498-A9A5-5B6F4A7E6F6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EAFB3038-0FF3-49DD-A91E-2B1C8080F6B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5" name="TextBox 1">
          <a:extLst>
            <a:ext uri="{FF2B5EF4-FFF2-40B4-BE49-F238E27FC236}">
              <a16:creationId xmlns:a16="http://schemas.microsoft.com/office/drawing/2014/main" id="{7875E8B3-7BE2-4651-9D75-9D4CE3D35AD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6" name="TextBox 1">
          <a:extLst>
            <a:ext uri="{FF2B5EF4-FFF2-40B4-BE49-F238E27FC236}">
              <a16:creationId xmlns:a16="http://schemas.microsoft.com/office/drawing/2014/main" id="{C05406C2-50A6-4A7D-B912-527E75D817F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289B2960-41B0-44BA-8A3E-B53C25682C0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267522A3-EB5B-47A3-A19A-090AF8F727E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899" name="TextBox 1">
          <a:extLst>
            <a:ext uri="{FF2B5EF4-FFF2-40B4-BE49-F238E27FC236}">
              <a16:creationId xmlns:a16="http://schemas.microsoft.com/office/drawing/2014/main" id="{6F73C033-BCFC-4C38-9B2D-8C3BF8488D0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0" name="TextBox 1">
          <a:extLst>
            <a:ext uri="{FF2B5EF4-FFF2-40B4-BE49-F238E27FC236}">
              <a16:creationId xmlns:a16="http://schemas.microsoft.com/office/drawing/2014/main" id="{7EEB7695-C903-4F77-9DF3-12A7CF811EB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04C00E48-0ADA-463E-B34B-1567CC0CA4A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22A029B9-420C-4BAC-A336-6BB5374C6A9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3" name="TextBox 1">
          <a:extLst>
            <a:ext uri="{FF2B5EF4-FFF2-40B4-BE49-F238E27FC236}">
              <a16:creationId xmlns:a16="http://schemas.microsoft.com/office/drawing/2014/main" id="{3FBE2D3D-0E60-4864-822D-4E8464F4EFD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4" name="TextBox 1">
          <a:extLst>
            <a:ext uri="{FF2B5EF4-FFF2-40B4-BE49-F238E27FC236}">
              <a16:creationId xmlns:a16="http://schemas.microsoft.com/office/drawing/2014/main" id="{A753E0E9-5C1C-4C8A-ACE2-D4540E64D8C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34D15AB3-F581-49CA-9C6C-90ECCC6D530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8282353A-9154-4A29-A11C-ADEB4ED75C7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7" name="TextBox 1">
          <a:extLst>
            <a:ext uri="{FF2B5EF4-FFF2-40B4-BE49-F238E27FC236}">
              <a16:creationId xmlns:a16="http://schemas.microsoft.com/office/drawing/2014/main" id="{796ED702-D217-49C0-BE7E-611791EF4A5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8" name="TextBox 1">
          <a:extLst>
            <a:ext uri="{FF2B5EF4-FFF2-40B4-BE49-F238E27FC236}">
              <a16:creationId xmlns:a16="http://schemas.microsoft.com/office/drawing/2014/main" id="{ECBEB3DA-B532-4BFB-9D8D-4229A9EE439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41073F25-6D04-4487-A97E-61041B5586A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7F905EF6-0B6D-4AE8-8E29-B364E1A34E0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1" name="TextBox 1">
          <a:extLst>
            <a:ext uri="{FF2B5EF4-FFF2-40B4-BE49-F238E27FC236}">
              <a16:creationId xmlns:a16="http://schemas.microsoft.com/office/drawing/2014/main" id="{3B9A35BA-C5A1-4906-AD54-8ADE3D16DD4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2" name="TextBox 1">
          <a:extLst>
            <a:ext uri="{FF2B5EF4-FFF2-40B4-BE49-F238E27FC236}">
              <a16:creationId xmlns:a16="http://schemas.microsoft.com/office/drawing/2014/main" id="{954D9D52-2D29-42F7-8C0C-041B18B9BD8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D8D20BDE-675B-442F-941A-76F101B5B6F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B118B637-2F42-4634-8F45-5744E8D2FEF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5" name="TextBox 1">
          <a:extLst>
            <a:ext uri="{FF2B5EF4-FFF2-40B4-BE49-F238E27FC236}">
              <a16:creationId xmlns:a16="http://schemas.microsoft.com/office/drawing/2014/main" id="{CE8C8A4B-2B7B-4D04-83AA-106EB4B1796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6" name="TextBox 1">
          <a:extLst>
            <a:ext uri="{FF2B5EF4-FFF2-40B4-BE49-F238E27FC236}">
              <a16:creationId xmlns:a16="http://schemas.microsoft.com/office/drawing/2014/main" id="{2E00A313-31A5-47E9-8194-B4CCB365E6C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5D3B3062-80DF-4B9C-B49D-020548607DE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E40E57EA-EF68-4BC0-BED4-1028383B8C8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19" name="TextBox 1">
          <a:extLst>
            <a:ext uri="{FF2B5EF4-FFF2-40B4-BE49-F238E27FC236}">
              <a16:creationId xmlns:a16="http://schemas.microsoft.com/office/drawing/2014/main" id="{5CDA6851-FC67-48E7-86A2-74A3B3BC7A5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0" name="TextBox 1">
          <a:extLst>
            <a:ext uri="{FF2B5EF4-FFF2-40B4-BE49-F238E27FC236}">
              <a16:creationId xmlns:a16="http://schemas.microsoft.com/office/drawing/2014/main" id="{66BEDED4-027C-4A93-A23F-8ED3D3D1CB2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7D352344-3BB3-4F33-AC87-F8069E88A8C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06E2C047-D243-4A96-B5D8-9890C5118BB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3" name="TextBox 1">
          <a:extLst>
            <a:ext uri="{FF2B5EF4-FFF2-40B4-BE49-F238E27FC236}">
              <a16:creationId xmlns:a16="http://schemas.microsoft.com/office/drawing/2014/main" id="{9249C809-39B0-4614-A6C9-BE143031B51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4" name="TextBox 1">
          <a:extLst>
            <a:ext uri="{FF2B5EF4-FFF2-40B4-BE49-F238E27FC236}">
              <a16:creationId xmlns:a16="http://schemas.microsoft.com/office/drawing/2014/main" id="{3C3B324B-611C-47DC-BD22-75DEDCD0D0F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FF3A8E61-EE8F-427B-9D43-5ED63998F49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49DF9998-7D46-42E0-8D00-D97B72B1E17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7" name="TextBox 1">
          <a:extLst>
            <a:ext uri="{FF2B5EF4-FFF2-40B4-BE49-F238E27FC236}">
              <a16:creationId xmlns:a16="http://schemas.microsoft.com/office/drawing/2014/main" id="{75A350A8-7EF1-467C-AE02-CF0ACAB263B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8" name="TextBox 1">
          <a:extLst>
            <a:ext uri="{FF2B5EF4-FFF2-40B4-BE49-F238E27FC236}">
              <a16:creationId xmlns:a16="http://schemas.microsoft.com/office/drawing/2014/main" id="{278083ED-97AA-4F2D-8F92-2DB541A001C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EA197B95-4DDB-4082-B2CA-CB3EC66D582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7FFAAF68-1E39-4287-9261-E791DF364E2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2E0DCB2C-8B5D-4D97-88AB-24420026459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2" name="TextBox 1">
          <a:extLst>
            <a:ext uri="{FF2B5EF4-FFF2-40B4-BE49-F238E27FC236}">
              <a16:creationId xmlns:a16="http://schemas.microsoft.com/office/drawing/2014/main" id="{A1BE09F8-5541-43CC-BCE5-72203F8A3C9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3" name="TextBox 1">
          <a:extLst>
            <a:ext uri="{FF2B5EF4-FFF2-40B4-BE49-F238E27FC236}">
              <a16:creationId xmlns:a16="http://schemas.microsoft.com/office/drawing/2014/main" id="{FEF737D7-F5C6-411F-A801-D831B202E75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7DD3E2F8-0764-4F23-8691-0DD177BC5D3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8E31D01C-F830-42F7-8A8F-8C2BD6ED6C4F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6" name="TextBox 1">
          <a:extLst>
            <a:ext uri="{FF2B5EF4-FFF2-40B4-BE49-F238E27FC236}">
              <a16:creationId xmlns:a16="http://schemas.microsoft.com/office/drawing/2014/main" id="{65E0AB22-BB95-4C71-96AC-ED044587359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7" name="TextBox 1">
          <a:extLst>
            <a:ext uri="{FF2B5EF4-FFF2-40B4-BE49-F238E27FC236}">
              <a16:creationId xmlns:a16="http://schemas.microsoft.com/office/drawing/2014/main" id="{A7CF4555-2B08-4C5E-AF22-786C511FB74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C52574E5-2C20-483A-80F2-B9A67F8CD5C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A8344636-9748-444A-BBCD-B2B30A68BAB1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0" name="TextBox 1">
          <a:extLst>
            <a:ext uri="{FF2B5EF4-FFF2-40B4-BE49-F238E27FC236}">
              <a16:creationId xmlns:a16="http://schemas.microsoft.com/office/drawing/2014/main" id="{6F9EE030-5C2C-48B0-8167-6FDF8EE0FBF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1" name="TextBox 1">
          <a:extLst>
            <a:ext uri="{FF2B5EF4-FFF2-40B4-BE49-F238E27FC236}">
              <a16:creationId xmlns:a16="http://schemas.microsoft.com/office/drawing/2014/main" id="{F7DDF97F-D2E0-49D7-837E-27A2BE005FE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60206599-C0B4-449B-AE40-7957EA0E214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91B1772B-28AB-4EAA-9A03-82A8654872C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4" name="TextBox 1">
          <a:extLst>
            <a:ext uri="{FF2B5EF4-FFF2-40B4-BE49-F238E27FC236}">
              <a16:creationId xmlns:a16="http://schemas.microsoft.com/office/drawing/2014/main" id="{FD01DA68-F6EB-4999-9CCE-FF0AD08BBD5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5" name="TextBox 1">
          <a:extLst>
            <a:ext uri="{FF2B5EF4-FFF2-40B4-BE49-F238E27FC236}">
              <a16:creationId xmlns:a16="http://schemas.microsoft.com/office/drawing/2014/main" id="{77A40690-74BF-4096-A5B5-458F4D0C57D8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DA42E013-ADA0-4482-A577-7460369ED6CE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8C94F8DE-96A0-4FAF-872E-FD73FBE1D58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8" name="TextBox 1">
          <a:extLst>
            <a:ext uri="{FF2B5EF4-FFF2-40B4-BE49-F238E27FC236}">
              <a16:creationId xmlns:a16="http://schemas.microsoft.com/office/drawing/2014/main" id="{49C79D24-C610-443F-8960-D4B49EC0068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49" name="TextBox 1">
          <a:extLst>
            <a:ext uri="{FF2B5EF4-FFF2-40B4-BE49-F238E27FC236}">
              <a16:creationId xmlns:a16="http://schemas.microsoft.com/office/drawing/2014/main" id="{242677C4-AC77-4DFC-A515-97BA39A0EDAD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579419D3-15BF-46AA-B81B-E5929F19BF6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3F129840-8754-4C1A-BF91-7E4B4416ED0C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2" name="TextBox 1">
          <a:extLst>
            <a:ext uri="{FF2B5EF4-FFF2-40B4-BE49-F238E27FC236}">
              <a16:creationId xmlns:a16="http://schemas.microsoft.com/office/drawing/2014/main" id="{45503F61-9756-4767-A91A-3B94B152E137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3" name="TextBox 1">
          <a:extLst>
            <a:ext uri="{FF2B5EF4-FFF2-40B4-BE49-F238E27FC236}">
              <a16:creationId xmlns:a16="http://schemas.microsoft.com/office/drawing/2014/main" id="{FEBDB912-2B14-4E1A-BD82-391B08D361A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8A7C5DBE-C0D7-4DC0-B4E3-F76171561A04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BD003056-039E-4489-896F-D9165BE0A77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6" name="TextBox 1">
          <a:extLst>
            <a:ext uri="{FF2B5EF4-FFF2-40B4-BE49-F238E27FC236}">
              <a16:creationId xmlns:a16="http://schemas.microsoft.com/office/drawing/2014/main" id="{89C92070-385B-4325-91EA-B57C231998E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7" name="TextBox 1">
          <a:extLst>
            <a:ext uri="{FF2B5EF4-FFF2-40B4-BE49-F238E27FC236}">
              <a16:creationId xmlns:a16="http://schemas.microsoft.com/office/drawing/2014/main" id="{BD3CF4C9-9374-4BEE-8BA0-24E165B1BE6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32D31B19-D9CD-4622-8C71-839789A0ADB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94A4B473-513A-4EEE-ADB6-9CE5B6DDDD46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60" name="TextBox 1">
          <a:extLst>
            <a:ext uri="{FF2B5EF4-FFF2-40B4-BE49-F238E27FC236}">
              <a16:creationId xmlns:a16="http://schemas.microsoft.com/office/drawing/2014/main" id="{23E589C7-6AA3-4B89-9FA5-847E5EED6FFB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61" name="TextBox 1">
          <a:extLst>
            <a:ext uri="{FF2B5EF4-FFF2-40B4-BE49-F238E27FC236}">
              <a16:creationId xmlns:a16="http://schemas.microsoft.com/office/drawing/2014/main" id="{5E68BC4F-4BC2-48D1-B1FE-F8E3B1A93900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64CCEC82-F173-4D99-8954-2EDB58F34E23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F391BE5E-646A-4493-A8EE-B970F039DAC9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64" name="TextBox 1">
          <a:extLst>
            <a:ext uri="{FF2B5EF4-FFF2-40B4-BE49-F238E27FC236}">
              <a16:creationId xmlns:a16="http://schemas.microsoft.com/office/drawing/2014/main" id="{A57C188A-6DCE-464B-8651-4BC46BBB53FA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65" name="TextBox 1">
          <a:extLst>
            <a:ext uri="{FF2B5EF4-FFF2-40B4-BE49-F238E27FC236}">
              <a16:creationId xmlns:a16="http://schemas.microsoft.com/office/drawing/2014/main" id="{EA10FEAA-2AC4-42C1-A715-D3E257AEA802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61</xdr:row>
      <xdr:rowOff>0</xdr:rowOff>
    </xdr:from>
    <xdr:ext cx="65" cy="172227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4343528B-1D3C-4A02-93C3-362231EDA9D5}"/>
            </a:ext>
          </a:extLst>
        </xdr:cNvPr>
        <xdr:cNvSpPr txBox="1"/>
      </xdr:nvSpPr>
      <xdr:spPr>
        <a:xfrm>
          <a:off x="9263743" y="24925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A91C458B-8B08-46CC-996C-9BF28DABAE0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68" name="TextBox 1">
          <a:extLst>
            <a:ext uri="{FF2B5EF4-FFF2-40B4-BE49-F238E27FC236}">
              <a16:creationId xmlns:a16="http://schemas.microsoft.com/office/drawing/2014/main" id="{DC222CE4-8B20-4E27-9DE2-9B48F1E6F27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69" name="TextBox 1">
          <a:extLst>
            <a:ext uri="{FF2B5EF4-FFF2-40B4-BE49-F238E27FC236}">
              <a16:creationId xmlns:a16="http://schemas.microsoft.com/office/drawing/2014/main" id="{611FF8CD-AF25-464A-AE3D-88928ABCDC5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E66F7A80-8233-446C-9830-6C80FF2CA34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402B07DA-F733-4EA6-90FA-B3B8D232336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2" name="TextBox 1">
          <a:extLst>
            <a:ext uri="{FF2B5EF4-FFF2-40B4-BE49-F238E27FC236}">
              <a16:creationId xmlns:a16="http://schemas.microsoft.com/office/drawing/2014/main" id="{F6F4B33F-4CB6-4E6D-B509-FFFE4931319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3" name="TextBox 1">
          <a:extLst>
            <a:ext uri="{FF2B5EF4-FFF2-40B4-BE49-F238E27FC236}">
              <a16:creationId xmlns:a16="http://schemas.microsoft.com/office/drawing/2014/main" id="{D5C0EC5E-1356-46B5-892A-D7BCF15DA4F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F5DDBEE3-08EE-467F-A4F1-65BEC963F34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DA43AE3D-0894-443A-9AB9-D7EE77269AA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63BEBF5D-E419-4338-906F-F65965614B3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7" name="TextBox 1">
          <a:extLst>
            <a:ext uri="{FF2B5EF4-FFF2-40B4-BE49-F238E27FC236}">
              <a16:creationId xmlns:a16="http://schemas.microsoft.com/office/drawing/2014/main" id="{1CD3448E-5C45-4597-95CD-4D8F9CAF8FC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8" name="TextBox 1">
          <a:extLst>
            <a:ext uri="{FF2B5EF4-FFF2-40B4-BE49-F238E27FC236}">
              <a16:creationId xmlns:a16="http://schemas.microsoft.com/office/drawing/2014/main" id="{4D85564C-2D05-4B50-9878-C7DABF00E3D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D0C3F141-E766-4706-A00B-E86F62422B2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F1BB4885-E44C-41FB-B2C8-3C657C56277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1" name="TextBox 1">
          <a:extLst>
            <a:ext uri="{FF2B5EF4-FFF2-40B4-BE49-F238E27FC236}">
              <a16:creationId xmlns:a16="http://schemas.microsoft.com/office/drawing/2014/main" id="{A82325CC-8969-4412-A9C0-D4F15305E59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2" name="TextBox 1">
          <a:extLst>
            <a:ext uri="{FF2B5EF4-FFF2-40B4-BE49-F238E27FC236}">
              <a16:creationId xmlns:a16="http://schemas.microsoft.com/office/drawing/2014/main" id="{6072004E-290E-4C73-8E88-E05E5B72D93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D719DD07-A3EC-4826-BB9A-4B50518685E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177B787F-8DD7-40C2-8820-93C92968073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5" name="TextBox 1">
          <a:extLst>
            <a:ext uri="{FF2B5EF4-FFF2-40B4-BE49-F238E27FC236}">
              <a16:creationId xmlns:a16="http://schemas.microsoft.com/office/drawing/2014/main" id="{3E3CCFF8-9AC6-417F-B22C-F2B7E742AA7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6" name="TextBox 1">
          <a:extLst>
            <a:ext uri="{FF2B5EF4-FFF2-40B4-BE49-F238E27FC236}">
              <a16:creationId xmlns:a16="http://schemas.microsoft.com/office/drawing/2014/main" id="{D9F1E211-B049-45A4-A47E-4731FAE5F0C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EB0EECD9-ADF5-422A-BACB-2A3183A4AB4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58BBB6C3-49BF-4E30-88C0-88DD3A89CFD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89" name="TextBox 1">
          <a:extLst>
            <a:ext uri="{FF2B5EF4-FFF2-40B4-BE49-F238E27FC236}">
              <a16:creationId xmlns:a16="http://schemas.microsoft.com/office/drawing/2014/main" id="{DFAF3E48-478A-4DA9-9BB6-92D4891A204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0" name="TextBox 1">
          <a:extLst>
            <a:ext uri="{FF2B5EF4-FFF2-40B4-BE49-F238E27FC236}">
              <a16:creationId xmlns:a16="http://schemas.microsoft.com/office/drawing/2014/main" id="{0EFE6E48-F3E4-467D-846F-C6D46BCADFA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A614648D-2497-4236-84E6-7E38566E9D8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7271F40D-9DDA-4D65-B0E0-AC838BE5089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3" name="TextBox 1">
          <a:extLst>
            <a:ext uri="{FF2B5EF4-FFF2-40B4-BE49-F238E27FC236}">
              <a16:creationId xmlns:a16="http://schemas.microsoft.com/office/drawing/2014/main" id="{04B2A91D-A7EF-4F02-85F7-C8CA56D94DF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4" name="TextBox 1">
          <a:extLst>
            <a:ext uri="{FF2B5EF4-FFF2-40B4-BE49-F238E27FC236}">
              <a16:creationId xmlns:a16="http://schemas.microsoft.com/office/drawing/2014/main" id="{C1B4995E-5BC5-40BF-AD00-6D3AA93EA00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872A0D9B-8DB1-4CCA-8676-1446BF5A328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E616C1B9-BC55-481C-8564-2EC78C2C654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7" name="TextBox 1">
          <a:extLst>
            <a:ext uri="{FF2B5EF4-FFF2-40B4-BE49-F238E27FC236}">
              <a16:creationId xmlns:a16="http://schemas.microsoft.com/office/drawing/2014/main" id="{22132FB4-1EE3-40BB-B16A-B6C30EF3687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8" name="TextBox 1">
          <a:extLst>
            <a:ext uri="{FF2B5EF4-FFF2-40B4-BE49-F238E27FC236}">
              <a16:creationId xmlns:a16="http://schemas.microsoft.com/office/drawing/2014/main" id="{700D0544-51DD-406C-82E6-14B4DC64223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EABE8BDE-DE85-4BCD-B736-3950BB5FDE2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5152E506-C18D-47A9-9278-40CEED58EC7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1" name="TextBox 1">
          <a:extLst>
            <a:ext uri="{FF2B5EF4-FFF2-40B4-BE49-F238E27FC236}">
              <a16:creationId xmlns:a16="http://schemas.microsoft.com/office/drawing/2014/main" id="{69BB33D8-A764-431B-9333-68B5AEC31CA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2" name="TextBox 1">
          <a:extLst>
            <a:ext uri="{FF2B5EF4-FFF2-40B4-BE49-F238E27FC236}">
              <a16:creationId xmlns:a16="http://schemas.microsoft.com/office/drawing/2014/main" id="{DDC4F0E1-F103-4843-9BCA-5CE74864372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0EC92971-760C-4692-899D-FA2DF3C6079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C38ED493-273D-4B3A-A6F4-BD11F30BF07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5" name="TextBox 1">
          <a:extLst>
            <a:ext uri="{FF2B5EF4-FFF2-40B4-BE49-F238E27FC236}">
              <a16:creationId xmlns:a16="http://schemas.microsoft.com/office/drawing/2014/main" id="{F0BCDEB8-394A-4919-8B58-70852EB267C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6" name="TextBox 1">
          <a:extLst>
            <a:ext uri="{FF2B5EF4-FFF2-40B4-BE49-F238E27FC236}">
              <a16:creationId xmlns:a16="http://schemas.microsoft.com/office/drawing/2014/main" id="{0322804C-FB43-4EDA-81C4-2E61C5E5B3E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B28F0BD2-CF8B-4A0F-82D8-EF42D3D7420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A9089918-D26D-483A-B5F0-9175FE3E00C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09" name="TextBox 1">
          <a:extLst>
            <a:ext uri="{FF2B5EF4-FFF2-40B4-BE49-F238E27FC236}">
              <a16:creationId xmlns:a16="http://schemas.microsoft.com/office/drawing/2014/main" id="{9C680DDF-021F-4279-8060-8C621CB6670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0" name="TextBox 1">
          <a:extLst>
            <a:ext uri="{FF2B5EF4-FFF2-40B4-BE49-F238E27FC236}">
              <a16:creationId xmlns:a16="http://schemas.microsoft.com/office/drawing/2014/main" id="{A712898B-DFD9-4D26-B483-F32748ABB12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11A0C184-54F2-4940-BF90-AEA1A0DEF31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2" name="TextBox 1">
          <a:extLst>
            <a:ext uri="{FF2B5EF4-FFF2-40B4-BE49-F238E27FC236}">
              <a16:creationId xmlns:a16="http://schemas.microsoft.com/office/drawing/2014/main" id="{FFBA1524-4E6B-4149-887A-3007CBEFCAC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3" name="TextBox 1">
          <a:extLst>
            <a:ext uri="{FF2B5EF4-FFF2-40B4-BE49-F238E27FC236}">
              <a16:creationId xmlns:a16="http://schemas.microsoft.com/office/drawing/2014/main" id="{EB7C7FE8-AB00-44EE-B0F4-8154337013E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A41DCE6B-3782-4467-B424-B754072BF27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5" name="TextBox 1">
          <a:extLst>
            <a:ext uri="{FF2B5EF4-FFF2-40B4-BE49-F238E27FC236}">
              <a16:creationId xmlns:a16="http://schemas.microsoft.com/office/drawing/2014/main" id="{C030E716-A52A-46AD-9DDF-550B3244A24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67ACBE44-BCF2-4519-AF09-C0D46614006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7" name="TextBox 1">
          <a:extLst>
            <a:ext uri="{FF2B5EF4-FFF2-40B4-BE49-F238E27FC236}">
              <a16:creationId xmlns:a16="http://schemas.microsoft.com/office/drawing/2014/main" id="{CA478537-DB91-41DB-A161-590E5CED9CF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8" name="TextBox 1">
          <a:extLst>
            <a:ext uri="{FF2B5EF4-FFF2-40B4-BE49-F238E27FC236}">
              <a16:creationId xmlns:a16="http://schemas.microsoft.com/office/drawing/2014/main" id="{E294BE84-36FF-4103-A9FA-FAC3D2DBE0F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7B1ECBF1-B841-475F-A3EC-AF814A7CF98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D8EEAC99-24FC-4B1A-B2DF-9DD21C59DAA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1" name="TextBox 1">
          <a:extLst>
            <a:ext uri="{FF2B5EF4-FFF2-40B4-BE49-F238E27FC236}">
              <a16:creationId xmlns:a16="http://schemas.microsoft.com/office/drawing/2014/main" id="{A05B88DC-4CF8-4289-A14A-D88614CC500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2" name="TextBox 1">
          <a:extLst>
            <a:ext uri="{FF2B5EF4-FFF2-40B4-BE49-F238E27FC236}">
              <a16:creationId xmlns:a16="http://schemas.microsoft.com/office/drawing/2014/main" id="{B2E58899-5B96-4637-A457-58CBA01D22F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E4C5F33F-C117-42A1-AD6B-06155F436F4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526D6296-A300-42F0-B819-9C095FA8C75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EFEB7DEF-CA65-47D5-AACD-315A36F3BB3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6" name="TextBox 1">
          <a:extLst>
            <a:ext uri="{FF2B5EF4-FFF2-40B4-BE49-F238E27FC236}">
              <a16:creationId xmlns:a16="http://schemas.microsoft.com/office/drawing/2014/main" id="{2DBB34B8-5992-4EB0-81EE-0BAF9C104E0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7" name="TextBox 1">
          <a:extLst>
            <a:ext uri="{FF2B5EF4-FFF2-40B4-BE49-F238E27FC236}">
              <a16:creationId xmlns:a16="http://schemas.microsoft.com/office/drawing/2014/main" id="{1748BE4D-F8CB-4714-85A4-5DD06AEA135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0931CE70-E55F-4E13-9DDC-E7B2B568B08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FD0E2BD5-769F-4EB1-AA38-8651F5A1379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0" name="TextBox 1">
          <a:extLst>
            <a:ext uri="{FF2B5EF4-FFF2-40B4-BE49-F238E27FC236}">
              <a16:creationId xmlns:a16="http://schemas.microsoft.com/office/drawing/2014/main" id="{369EC094-4CE5-4EC3-8E11-111738AAD40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1" name="TextBox 1">
          <a:extLst>
            <a:ext uri="{FF2B5EF4-FFF2-40B4-BE49-F238E27FC236}">
              <a16:creationId xmlns:a16="http://schemas.microsoft.com/office/drawing/2014/main" id="{C907D0A7-1DE3-417B-B573-47CFF055CB2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0931F3FB-0CD3-415A-B148-0AFA21DF787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FE12E309-3E83-490F-8A2A-4389D1C713B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4" name="TextBox 1">
          <a:extLst>
            <a:ext uri="{FF2B5EF4-FFF2-40B4-BE49-F238E27FC236}">
              <a16:creationId xmlns:a16="http://schemas.microsoft.com/office/drawing/2014/main" id="{C802273E-F143-43DB-8B6B-78F7014856B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5" name="TextBox 1">
          <a:extLst>
            <a:ext uri="{FF2B5EF4-FFF2-40B4-BE49-F238E27FC236}">
              <a16:creationId xmlns:a16="http://schemas.microsoft.com/office/drawing/2014/main" id="{9787BD47-8FE9-4269-BABD-FE26DF4E6B5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9538F51B-9B0D-4D79-8644-F8431779880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4B6BAF9A-DD11-4B20-B7CF-450DCEA6568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8" name="TextBox 1">
          <a:extLst>
            <a:ext uri="{FF2B5EF4-FFF2-40B4-BE49-F238E27FC236}">
              <a16:creationId xmlns:a16="http://schemas.microsoft.com/office/drawing/2014/main" id="{F8611118-76F2-4717-AE68-983D684F57B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39" name="TextBox 1">
          <a:extLst>
            <a:ext uri="{FF2B5EF4-FFF2-40B4-BE49-F238E27FC236}">
              <a16:creationId xmlns:a16="http://schemas.microsoft.com/office/drawing/2014/main" id="{175F11E2-B5AA-476C-9BA8-08071E62E75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ADAD9A51-46DF-4817-BB8F-8FC0F53E499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0926B7F1-5998-4522-8ACE-C89BA4D723D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2" name="TextBox 1">
          <a:extLst>
            <a:ext uri="{FF2B5EF4-FFF2-40B4-BE49-F238E27FC236}">
              <a16:creationId xmlns:a16="http://schemas.microsoft.com/office/drawing/2014/main" id="{5DD22CA3-9FA2-45F8-A0B5-61160C2129E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3" name="TextBox 1">
          <a:extLst>
            <a:ext uri="{FF2B5EF4-FFF2-40B4-BE49-F238E27FC236}">
              <a16:creationId xmlns:a16="http://schemas.microsoft.com/office/drawing/2014/main" id="{7B69F9F7-1420-402D-AC71-98812B83BF1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7DC3D5A6-2402-4CFA-BD8A-C2D2A2AAF5E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8CDA8E44-D256-4430-94FF-B3F42373229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6" name="TextBox 1">
          <a:extLst>
            <a:ext uri="{FF2B5EF4-FFF2-40B4-BE49-F238E27FC236}">
              <a16:creationId xmlns:a16="http://schemas.microsoft.com/office/drawing/2014/main" id="{603AFA98-8823-4C5F-AD9B-00926C6A06E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7" name="TextBox 1">
          <a:extLst>
            <a:ext uri="{FF2B5EF4-FFF2-40B4-BE49-F238E27FC236}">
              <a16:creationId xmlns:a16="http://schemas.microsoft.com/office/drawing/2014/main" id="{55149661-7C91-4399-8908-3325D252742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BF764431-A48F-46C1-B733-808B2B2A41E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1CF8045D-44CF-45CE-849C-2AA41348D0F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0" name="TextBox 1">
          <a:extLst>
            <a:ext uri="{FF2B5EF4-FFF2-40B4-BE49-F238E27FC236}">
              <a16:creationId xmlns:a16="http://schemas.microsoft.com/office/drawing/2014/main" id="{A12ADD23-F9F8-414E-8A6D-361FE0CE6C3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1" name="TextBox 1">
          <a:extLst>
            <a:ext uri="{FF2B5EF4-FFF2-40B4-BE49-F238E27FC236}">
              <a16:creationId xmlns:a16="http://schemas.microsoft.com/office/drawing/2014/main" id="{2169EEA7-C1B0-4292-88ED-66D66A80964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19DE1ED4-9807-43E1-9B6D-C54A6CE1E2B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806BA4AF-3C31-49F0-9DDB-01EC4D420DA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4" name="TextBox 1">
          <a:extLst>
            <a:ext uri="{FF2B5EF4-FFF2-40B4-BE49-F238E27FC236}">
              <a16:creationId xmlns:a16="http://schemas.microsoft.com/office/drawing/2014/main" id="{DA3DBD75-BFCD-45AF-B8BB-1D02EF762EA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5" name="TextBox 1">
          <a:extLst>
            <a:ext uri="{FF2B5EF4-FFF2-40B4-BE49-F238E27FC236}">
              <a16:creationId xmlns:a16="http://schemas.microsoft.com/office/drawing/2014/main" id="{A636E792-BEF3-4D06-9649-54CAA3A9CE5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696F10DD-76E1-44C8-8AB9-90E2C57F01A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80E2F614-9856-419F-9BD9-2DAC4B919B7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8" name="TextBox 1">
          <a:extLst>
            <a:ext uri="{FF2B5EF4-FFF2-40B4-BE49-F238E27FC236}">
              <a16:creationId xmlns:a16="http://schemas.microsoft.com/office/drawing/2014/main" id="{24B1DC65-D4F7-493C-89AD-AB45CB7099D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59" name="TextBox 1">
          <a:extLst>
            <a:ext uri="{FF2B5EF4-FFF2-40B4-BE49-F238E27FC236}">
              <a16:creationId xmlns:a16="http://schemas.microsoft.com/office/drawing/2014/main" id="{514C937A-604D-461F-B1D6-7389068B272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0DB8A1B3-8A72-447D-9EE3-11D1897E19A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3C66803C-13A3-40E4-99EA-9C48109C824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570266D7-F5D5-49D8-A45F-85C7E777BD1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3" name="TextBox 1">
          <a:extLst>
            <a:ext uri="{FF2B5EF4-FFF2-40B4-BE49-F238E27FC236}">
              <a16:creationId xmlns:a16="http://schemas.microsoft.com/office/drawing/2014/main" id="{B3AA7BE2-56A9-43DA-8F54-6725596632C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4" name="TextBox 1">
          <a:extLst>
            <a:ext uri="{FF2B5EF4-FFF2-40B4-BE49-F238E27FC236}">
              <a16:creationId xmlns:a16="http://schemas.microsoft.com/office/drawing/2014/main" id="{60914265-B10D-4B95-9D5E-085AD07508B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C58A0872-9901-44E6-9752-69F706340E5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5582A3CF-456D-4A97-A3E1-6BE4FDF0502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7" name="TextBox 1">
          <a:extLst>
            <a:ext uri="{FF2B5EF4-FFF2-40B4-BE49-F238E27FC236}">
              <a16:creationId xmlns:a16="http://schemas.microsoft.com/office/drawing/2014/main" id="{0ADDAD14-38DE-4468-AF20-BBD7F8115C5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8" name="TextBox 1">
          <a:extLst>
            <a:ext uri="{FF2B5EF4-FFF2-40B4-BE49-F238E27FC236}">
              <a16:creationId xmlns:a16="http://schemas.microsoft.com/office/drawing/2014/main" id="{54C154F2-8E21-4A76-9936-3C5116CA695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65FCCB05-D044-4F66-990C-96CA0E94DF6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000196D6-93E8-4C3A-B9E6-028565BFEA9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1" name="TextBox 1">
          <a:extLst>
            <a:ext uri="{FF2B5EF4-FFF2-40B4-BE49-F238E27FC236}">
              <a16:creationId xmlns:a16="http://schemas.microsoft.com/office/drawing/2014/main" id="{F07A7BC1-EB4F-4E06-ADE9-7300BCB2FF2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2" name="TextBox 1">
          <a:extLst>
            <a:ext uri="{FF2B5EF4-FFF2-40B4-BE49-F238E27FC236}">
              <a16:creationId xmlns:a16="http://schemas.microsoft.com/office/drawing/2014/main" id="{79E9CC11-B12C-4A49-8FBE-5565AE0F32E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3" name="TextBox 2072">
          <a:extLst>
            <a:ext uri="{FF2B5EF4-FFF2-40B4-BE49-F238E27FC236}">
              <a16:creationId xmlns:a16="http://schemas.microsoft.com/office/drawing/2014/main" id="{8D939A7B-5E21-419C-B869-1DE1BAE4EB5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43DAEEB5-3282-4EAB-AEA7-3493421CC02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5" name="TextBox 1">
          <a:extLst>
            <a:ext uri="{FF2B5EF4-FFF2-40B4-BE49-F238E27FC236}">
              <a16:creationId xmlns:a16="http://schemas.microsoft.com/office/drawing/2014/main" id="{DB287DC8-FED8-4C96-80BA-14C1B3DBD22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6" name="TextBox 1">
          <a:extLst>
            <a:ext uri="{FF2B5EF4-FFF2-40B4-BE49-F238E27FC236}">
              <a16:creationId xmlns:a16="http://schemas.microsoft.com/office/drawing/2014/main" id="{38FBBF74-571E-4769-92F9-6A919F3A0C2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7" name="TextBox 2076">
          <a:extLst>
            <a:ext uri="{FF2B5EF4-FFF2-40B4-BE49-F238E27FC236}">
              <a16:creationId xmlns:a16="http://schemas.microsoft.com/office/drawing/2014/main" id="{8960A079-0005-4B46-9FD7-B0BA849DB71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8" name="TextBox 2077">
          <a:extLst>
            <a:ext uri="{FF2B5EF4-FFF2-40B4-BE49-F238E27FC236}">
              <a16:creationId xmlns:a16="http://schemas.microsoft.com/office/drawing/2014/main" id="{1F1D2839-9D39-4549-AB7F-74C54184CC2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79" name="TextBox 1">
          <a:extLst>
            <a:ext uri="{FF2B5EF4-FFF2-40B4-BE49-F238E27FC236}">
              <a16:creationId xmlns:a16="http://schemas.microsoft.com/office/drawing/2014/main" id="{BC978D14-6119-4DEE-9DD9-C67546B6A11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0" name="TextBox 1">
          <a:extLst>
            <a:ext uri="{FF2B5EF4-FFF2-40B4-BE49-F238E27FC236}">
              <a16:creationId xmlns:a16="http://schemas.microsoft.com/office/drawing/2014/main" id="{E258283E-8723-4236-9E1F-D2A75E9663F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1" name="TextBox 2080">
          <a:extLst>
            <a:ext uri="{FF2B5EF4-FFF2-40B4-BE49-F238E27FC236}">
              <a16:creationId xmlns:a16="http://schemas.microsoft.com/office/drawing/2014/main" id="{C6C0FE54-E436-4E6A-97DE-FFB2BDE58F3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2" name="TextBox 2081">
          <a:extLst>
            <a:ext uri="{FF2B5EF4-FFF2-40B4-BE49-F238E27FC236}">
              <a16:creationId xmlns:a16="http://schemas.microsoft.com/office/drawing/2014/main" id="{18E551BF-8CE2-45F1-9876-7D6772DB274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3" name="TextBox 1">
          <a:extLst>
            <a:ext uri="{FF2B5EF4-FFF2-40B4-BE49-F238E27FC236}">
              <a16:creationId xmlns:a16="http://schemas.microsoft.com/office/drawing/2014/main" id="{0E22FFEC-5F30-41E4-9B2D-C36DA65676D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4" name="TextBox 1">
          <a:extLst>
            <a:ext uri="{FF2B5EF4-FFF2-40B4-BE49-F238E27FC236}">
              <a16:creationId xmlns:a16="http://schemas.microsoft.com/office/drawing/2014/main" id="{895AF338-A6BB-4F75-AE67-1719006DB97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5" name="TextBox 2084">
          <a:extLst>
            <a:ext uri="{FF2B5EF4-FFF2-40B4-BE49-F238E27FC236}">
              <a16:creationId xmlns:a16="http://schemas.microsoft.com/office/drawing/2014/main" id="{5E718878-D192-4CFC-AD71-8E60ECCABE9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46E7B4BD-A851-4A04-8FDE-A1031AD6CE5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7" name="TextBox 1">
          <a:extLst>
            <a:ext uri="{FF2B5EF4-FFF2-40B4-BE49-F238E27FC236}">
              <a16:creationId xmlns:a16="http://schemas.microsoft.com/office/drawing/2014/main" id="{7149FEEE-C87C-4C00-94CC-3F50C87E096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8" name="TextBox 1">
          <a:extLst>
            <a:ext uri="{FF2B5EF4-FFF2-40B4-BE49-F238E27FC236}">
              <a16:creationId xmlns:a16="http://schemas.microsoft.com/office/drawing/2014/main" id="{0F816611-1108-4B45-ADBC-A43C7620B59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89" name="TextBox 2088">
          <a:extLst>
            <a:ext uri="{FF2B5EF4-FFF2-40B4-BE49-F238E27FC236}">
              <a16:creationId xmlns:a16="http://schemas.microsoft.com/office/drawing/2014/main" id="{F90778B2-8711-4F82-B4A3-74E796B5385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4C9D7A33-47B4-4620-81F1-2E2D0B7C0D8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1" name="TextBox 1">
          <a:extLst>
            <a:ext uri="{FF2B5EF4-FFF2-40B4-BE49-F238E27FC236}">
              <a16:creationId xmlns:a16="http://schemas.microsoft.com/office/drawing/2014/main" id="{B7405A58-2A2F-49C2-856E-0DD6BCC9271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2" name="TextBox 1">
          <a:extLst>
            <a:ext uri="{FF2B5EF4-FFF2-40B4-BE49-F238E27FC236}">
              <a16:creationId xmlns:a16="http://schemas.microsoft.com/office/drawing/2014/main" id="{B50B3976-F115-4043-99D8-A177D72BBB1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3" name="TextBox 2092">
          <a:extLst>
            <a:ext uri="{FF2B5EF4-FFF2-40B4-BE49-F238E27FC236}">
              <a16:creationId xmlns:a16="http://schemas.microsoft.com/office/drawing/2014/main" id="{D8C4E344-D6FD-4B1D-A1F2-C5AFA4373ED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8AB25662-052F-45CB-B6BD-66BEA739503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5" name="TextBox 1">
          <a:extLst>
            <a:ext uri="{FF2B5EF4-FFF2-40B4-BE49-F238E27FC236}">
              <a16:creationId xmlns:a16="http://schemas.microsoft.com/office/drawing/2014/main" id="{899381F2-FF4B-4056-9090-15C39FB1E8D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6" name="TextBox 1">
          <a:extLst>
            <a:ext uri="{FF2B5EF4-FFF2-40B4-BE49-F238E27FC236}">
              <a16:creationId xmlns:a16="http://schemas.microsoft.com/office/drawing/2014/main" id="{567A52B3-F1BB-486F-AC38-128AA635E19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7" name="TextBox 2096">
          <a:extLst>
            <a:ext uri="{FF2B5EF4-FFF2-40B4-BE49-F238E27FC236}">
              <a16:creationId xmlns:a16="http://schemas.microsoft.com/office/drawing/2014/main" id="{5F3E5061-5151-4DA4-A9E4-C6D043AD794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8" name="TextBox 2097">
          <a:extLst>
            <a:ext uri="{FF2B5EF4-FFF2-40B4-BE49-F238E27FC236}">
              <a16:creationId xmlns:a16="http://schemas.microsoft.com/office/drawing/2014/main" id="{946ACDDD-AF28-49C4-8F83-7980C40A477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099" name="TextBox 1">
          <a:extLst>
            <a:ext uri="{FF2B5EF4-FFF2-40B4-BE49-F238E27FC236}">
              <a16:creationId xmlns:a16="http://schemas.microsoft.com/office/drawing/2014/main" id="{FC5541E1-E4C6-4AD0-9FDA-DC314430CC0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0" name="TextBox 1">
          <a:extLst>
            <a:ext uri="{FF2B5EF4-FFF2-40B4-BE49-F238E27FC236}">
              <a16:creationId xmlns:a16="http://schemas.microsoft.com/office/drawing/2014/main" id="{82508967-B947-40C6-A558-40E5B93B612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1" name="TextBox 2100">
          <a:extLst>
            <a:ext uri="{FF2B5EF4-FFF2-40B4-BE49-F238E27FC236}">
              <a16:creationId xmlns:a16="http://schemas.microsoft.com/office/drawing/2014/main" id="{0308D820-85E9-475B-828F-BE1F8F85D23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2" name="TextBox 2101">
          <a:extLst>
            <a:ext uri="{FF2B5EF4-FFF2-40B4-BE49-F238E27FC236}">
              <a16:creationId xmlns:a16="http://schemas.microsoft.com/office/drawing/2014/main" id="{3B6CA153-74ED-4F59-933C-ED7C81C129D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3" name="TextBox 1">
          <a:extLst>
            <a:ext uri="{FF2B5EF4-FFF2-40B4-BE49-F238E27FC236}">
              <a16:creationId xmlns:a16="http://schemas.microsoft.com/office/drawing/2014/main" id="{565612D6-8255-4B45-9301-D16144DEF90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4" name="TextBox 1">
          <a:extLst>
            <a:ext uri="{FF2B5EF4-FFF2-40B4-BE49-F238E27FC236}">
              <a16:creationId xmlns:a16="http://schemas.microsoft.com/office/drawing/2014/main" id="{8A0CDE60-2CFF-4CEA-8DDB-C73DBB3F316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5" name="TextBox 2104">
          <a:extLst>
            <a:ext uri="{FF2B5EF4-FFF2-40B4-BE49-F238E27FC236}">
              <a16:creationId xmlns:a16="http://schemas.microsoft.com/office/drawing/2014/main" id="{7B62227E-E96E-4773-A5CC-09DAA127313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6" name="TextBox 2105">
          <a:extLst>
            <a:ext uri="{FF2B5EF4-FFF2-40B4-BE49-F238E27FC236}">
              <a16:creationId xmlns:a16="http://schemas.microsoft.com/office/drawing/2014/main" id="{63B38DDD-7AF4-4A27-83A6-6D35D347C00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7" name="TextBox 2106">
          <a:extLst>
            <a:ext uri="{FF2B5EF4-FFF2-40B4-BE49-F238E27FC236}">
              <a16:creationId xmlns:a16="http://schemas.microsoft.com/office/drawing/2014/main" id="{14436A60-CD82-401A-BD40-77F361A78DF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8" name="TextBox 1">
          <a:extLst>
            <a:ext uri="{FF2B5EF4-FFF2-40B4-BE49-F238E27FC236}">
              <a16:creationId xmlns:a16="http://schemas.microsoft.com/office/drawing/2014/main" id="{8355AD08-4A3B-4322-9286-B5B8EDD3D8C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09" name="TextBox 1">
          <a:extLst>
            <a:ext uri="{FF2B5EF4-FFF2-40B4-BE49-F238E27FC236}">
              <a16:creationId xmlns:a16="http://schemas.microsoft.com/office/drawing/2014/main" id="{ECC41373-AD46-4548-A7D7-449848467E2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0" name="TextBox 2109">
          <a:extLst>
            <a:ext uri="{FF2B5EF4-FFF2-40B4-BE49-F238E27FC236}">
              <a16:creationId xmlns:a16="http://schemas.microsoft.com/office/drawing/2014/main" id="{DAAD6BE8-96D7-4B0D-917B-2C0E6EB1864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1" name="TextBox 2110">
          <a:extLst>
            <a:ext uri="{FF2B5EF4-FFF2-40B4-BE49-F238E27FC236}">
              <a16:creationId xmlns:a16="http://schemas.microsoft.com/office/drawing/2014/main" id="{78EE2B78-EF84-4E69-BDE5-3209269F518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2" name="TextBox 1">
          <a:extLst>
            <a:ext uri="{FF2B5EF4-FFF2-40B4-BE49-F238E27FC236}">
              <a16:creationId xmlns:a16="http://schemas.microsoft.com/office/drawing/2014/main" id="{1D3DF651-2D28-4CE6-B3B4-654D403E7A1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3" name="TextBox 1">
          <a:extLst>
            <a:ext uri="{FF2B5EF4-FFF2-40B4-BE49-F238E27FC236}">
              <a16:creationId xmlns:a16="http://schemas.microsoft.com/office/drawing/2014/main" id="{83AB9953-14CE-4A6D-BDCC-46F078CF900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4" name="TextBox 2113">
          <a:extLst>
            <a:ext uri="{FF2B5EF4-FFF2-40B4-BE49-F238E27FC236}">
              <a16:creationId xmlns:a16="http://schemas.microsoft.com/office/drawing/2014/main" id="{27ADE00B-F039-488C-A410-751D67A2931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5" name="TextBox 2114">
          <a:extLst>
            <a:ext uri="{FF2B5EF4-FFF2-40B4-BE49-F238E27FC236}">
              <a16:creationId xmlns:a16="http://schemas.microsoft.com/office/drawing/2014/main" id="{6962C945-C466-464F-872C-BFEF25B4764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6" name="TextBox 1">
          <a:extLst>
            <a:ext uri="{FF2B5EF4-FFF2-40B4-BE49-F238E27FC236}">
              <a16:creationId xmlns:a16="http://schemas.microsoft.com/office/drawing/2014/main" id="{E3CED68D-273B-4C8A-89D7-03116100374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7" name="TextBox 1">
          <a:extLst>
            <a:ext uri="{FF2B5EF4-FFF2-40B4-BE49-F238E27FC236}">
              <a16:creationId xmlns:a16="http://schemas.microsoft.com/office/drawing/2014/main" id="{669B3A4A-F2D6-45D4-83D9-DF02F07557F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8" name="TextBox 2117">
          <a:extLst>
            <a:ext uri="{FF2B5EF4-FFF2-40B4-BE49-F238E27FC236}">
              <a16:creationId xmlns:a16="http://schemas.microsoft.com/office/drawing/2014/main" id="{F78D05FC-748F-4143-8568-C61F4595CC6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19" name="TextBox 2118">
          <a:extLst>
            <a:ext uri="{FF2B5EF4-FFF2-40B4-BE49-F238E27FC236}">
              <a16:creationId xmlns:a16="http://schemas.microsoft.com/office/drawing/2014/main" id="{7E187492-E8E5-4019-8B73-C9ACA42F6DB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0" name="TextBox 1">
          <a:extLst>
            <a:ext uri="{FF2B5EF4-FFF2-40B4-BE49-F238E27FC236}">
              <a16:creationId xmlns:a16="http://schemas.microsoft.com/office/drawing/2014/main" id="{D68A78B2-E788-4241-A991-3F98B10BA59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1" name="TextBox 1">
          <a:extLst>
            <a:ext uri="{FF2B5EF4-FFF2-40B4-BE49-F238E27FC236}">
              <a16:creationId xmlns:a16="http://schemas.microsoft.com/office/drawing/2014/main" id="{1400E3E8-BC63-4E92-8D8A-586403CD1AF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2" name="TextBox 2121">
          <a:extLst>
            <a:ext uri="{FF2B5EF4-FFF2-40B4-BE49-F238E27FC236}">
              <a16:creationId xmlns:a16="http://schemas.microsoft.com/office/drawing/2014/main" id="{840A78E8-B075-4A0D-A851-DCBD62C1095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3" name="TextBox 2122">
          <a:extLst>
            <a:ext uri="{FF2B5EF4-FFF2-40B4-BE49-F238E27FC236}">
              <a16:creationId xmlns:a16="http://schemas.microsoft.com/office/drawing/2014/main" id="{B69ACFE6-B9AC-4F05-9BD5-EBFEEC2F077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4" name="TextBox 1">
          <a:extLst>
            <a:ext uri="{FF2B5EF4-FFF2-40B4-BE49-F238E27FC236}">
              <a16:creationId xmlns:a16="http://schemas.microsoft.com/office/drawing/2014/main" id="{95A07C12-590B-4A6F-B7F4-EA9478231F7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5" name="TextBox 1">
          <a:extLst>
            <a:ext uri="{FF2B5EF4-FFF2-40B4-BE49-F238E27FC236}">
              <a16:creationId xmlns:a16="http://schemas.microsoft.com/office/drawing/2014/main" id="{FA232F5C-1C30-4D44-9441-6BFE5C08B53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6" name="TextBox 2125">
          <a:extLst>
            <a:ext uri="{FF2B5EF4-FFF2-40B4-BE49-F238E27FC236}">
              <a16:creationId xmlns:a16="http://schemas.microsoft.com/office/drawing/2014/main" id="{D6D38AE3-5FB7-4549-9B1D-A5DFBB522C9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7" name="TextBox 2126">
          <a:extLst>
            <a:ext uri="{FF2B5EF4-FFF2-40B4-BE49-F238E27FC236}">
              <a16:creationId xmlns:a16="http://schemas.microsoft.com/office/drawing/2014/main" id="{34C06949-A20B-4DDB-AE36-733D5C2184E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8" name="TextBox 1">
          <a:extLst>
            <a:ext uri="{FF2B5EF4-FFF2-40B4-BE49-F238E27FC236}">
              <a16:creationId xmlns:a16="http://schemas.microsoft.com/office/drawing/2014/main" id="{4D6FA78C-CCE9-45F9-8E2A-BC438E31ED4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29" name="TextBox 1">
          <a:extLst>
            <a:ext uri="{FF2B5EF4-FFF2-40B4-BE49-F238E27FC236}">
              <a16:creationId xmlns:a16="http://schemas.microsoft.com/office/drawing/2014/main" id="{BA776630-B608-4BC0-8CA6-8B736EDE6EB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0" name="TextBox 2129">
          <a:extLst>
            <a:ext uri="{FF2B5EF4-FFF2-40B4-BE49-F238E27FC236}">
              <a16:creationId xmlns:a16="http://schemas.microsoft.com/office/drawing/2014/main" id="{FA588C13-B116-44BF-8A2A-8F938E14A41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1" name="TextBox 2130">
          <a:extLst>
            <a:ext uri="{FF2B5EF4-FFF2-40B4-BE49-F238E27FC236}">
              <a16:creationId xmlns:a16="http://schemas.microsoft.com/office/drawing/2014/main" id="{4247FF33-CA5E-4C0D-BD73-D3BCA13CDF1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2" name="TextBox 1">
          <a:extLst>
            <a:ext uri="{FF2B5EF4-FFF2-40B4-BE49-F238E27FC236}">
              <a16:creationId xmlns:a16="http://schemas.microsoft.com/office/drawing/2014/main" id="{38FD8213-D8B4-4F73-AA18-409FB384A8B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3" name="TextBox 1">
          <a:extLst>
            <a:ext uri="{FF2B5EF4-FFF2-40B4-BE49-F238E27FC236}">
              <a16:creationId xmlns:a16="http://schemas.microsoft.com/office/drawing/2014/main" id="{E0B59405-3542-44C6-AF51-9BE70E10771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4" name="TextBox 2133">
          <a:extLst>
            <a:ext uri="{FF2B5EF4-FFF2-40B4-BE49-F238E27FC236}">
              <a16:creationId xmlns:a16="http://schemas.microsoft.com/office/drawing/2014/main" id="{FB862D67-19B7-4854-85BF-3DC05E15757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5" name="TextBox 2134">
          <a:extLst>
            <a:ext uri="{FF2B5EF4-FFF2-40B4-BE49-F238E27FC236}">
              <a16:creationId xmlns:a16="http://schemas.microsoft.com/office/drawing/2014/main" id="{53C32051-D6C2-4744-9673-3C2171B8ABC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6" name="TextBox 1">
          <a:extLst>
            <a:ext uri="{FF2B5EF4-FFF2-40B4-BE49-F238E27FC236}">
              <a16:creationId xmlns:a16="http://schemas.microsoft.com/office/drawing/2014/main" id="{3FE1A977-E7B3-4B20-9EB3-E102E5F29B3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7" name="TextBox 1">
          <a:extLst>
            <a:ext uri="{FF2B5EF4-FFF2-40B4-BE49-F238E27FC236}">
              <a16:creationId xmlns:a16="http://schemas.microsoft.com/office/drawing/2014/main" id="{7D67A093-5A57-4EA5-BF1C-77773257794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8" name="TextBox 2137">
          <a:extLst>
            <a:ext uri="{FF2B5EF4-FFF2-40B4-BE49-F238E27FC236}">
              <a16:creationId xmlns:a16="http://schemas.microsoft.com/office/drawing/2014/main" id="{D4F2B787-71EB-4FB3-AEC5-1D588B94A8D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39" name="TextBox 2138">
          <a:extLst>
            <a:ext uri="{FF2B5EF4-FFF2-40B4-BE49-F238E27FC236}">
              <a16:creationId xmlns:a16="http://schemas.microsoft.com/office/drawing/2014/main" id="{D56C4EFC-769E-476C-B046-F3333BBA6A6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0" name="TextBox 1">
          <a:extLst>
            <a:ext uri="{FF2B5EF4-FFF2-40B4-BE49-F238E27FC236}">
              <a16:creationId xmlns:a16="http://schemas.microsoft.com/office/drawing/2014/main" id="{DC8F6682-7290-4CCB-B520-2D1856F7384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1" name="TextBox 1">
          <a:extLst>
            <a:ext uri="{FF2B5EF4-FFF2-40B4-BE49-F238E27FC236}">
              <a16:creationId xmlns:a16="http://schemas.microsoft.com/office/drawing/2014/main" id="{E6C209C0-8CDA-448A-ACEE-90992FF3BB3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2" name="TextBox 2141">
          <a:extLst>
            <a:ext uri="{FF2B5EF4-FFF2-40B4-BE49-F238E27FC236}">
              <a16:creationId xmlns:a16="http://schemas.microsoft.com/office/drawing/2014/main" id="{8A3F6E2E-67DF-45B0-A567-A99311D0156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3" name="TextBox 1">
          <a:extLst>
            <a:ext uri="{FF2B5EF4-FFF2-40B4-BE49-F238E27FC236}">
              <a16:creationId xmlns:a16="http://schemas.microsoft.com/office/drawing/2014/main" id="{8CA92D29-4DAB-40A7-B2CB-57629245E70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4" name="TextBox 1">
          <a:extLst>
            <a:ext uri="{FF2B5EF4-FFF2-40B4-BE49-F238E27FC236}">
              <a16:creationId xmlns:a16="http://schemas.microsoft.com/office/drawing/2014/main" id="{9BAC0A80-2F54-4F3F-9D7E-7DE88B21B49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5" name="TextBox 2144">
          <a:extLst>
            <a:ext uri="{FF2B5EF4-FFF2-40B4-BE49-F238E27FC236}">
              <a16:creationId xmlns:a16="http://schemas.microsoft.com/office/drawing/2014/main" id="{9B8EA495-BD82-4218-BE8F-3A259BD89C9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6" name="TextBox 1">
          <a:extLst>
            <a:ext uri="{FF2B5EF4-FFF2-40B4-BE49-F238E27FC236}">
              <a16:creationId xmlns:a16="http://schemas.microsoft.com/office/drawing/2014/main" id="{7BC3D757-C5E3-4AEA-A8BA-68661F749AF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7" name="TextBox 2146">
          <a:extLst>
            <a:ext uri="{FF2B5EF4-FFF2-40B4-BE49-F238E27FC236}">
              <a16:creationId xmlns:a16="http://schemas.microsoft.com/office/drawing/2014/main" id="{B416B4C8-4607-491F-B269-108B05405FF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8" name="TextBox 1">
          <a:extLst>
            <a:ext uri="{FF2B5EF4-FFF2-40B4-BE49-F238E27FC236}">
              <a16:creationId xmlns:a16="http://schemas.microsoft.com/office/drawing/2014/main" id="{D1A7065F-51ED-4D42-8E3A-079C199A225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49" name="TextBox 1">
          <a:extLst>
            <a:ext uri="{FF2B5EF4-FFF2-40B4-BE49-F238E27FC236}">
              <a16:creationId xmlns:a16="http://schemas.microsoft.com/office/drawing/2014/main" id="{122F254D-26F1-4900-82EF-CAF1B82E2B5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0" name="TextBox 2149">
          <a:extLst>
            <a:ext uri="{FF2B5EF4-FFF2-40B4-BE49-F238E27FC236}">
              <a16:creationId xmlns:a16="http://schemas.microsoft.com/office/drawing/2014/main" id="{6B663387-CFDC-4F4C-85B7-D777D6A712F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1" name="TextBox 2150">
          <a:extLst>
            <a:ext uri="{FF2B5EF4-FFF2-40B4-BE49-F238E27FC236}">
              <a16:creationId xmlns:a16="http://schemas.microsoft.com/office/drawing/2014/main" id="{30588B0D-0C8B-4A4E-94E6-CEE9691538B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2" name="TextBox 1">
          <a:extLst>
            <a:ext uri="{FF2B5EF4-FFF2-40B4-BE49-F238E27FC236}">
              <a16:creationId xmlns:a16="http://schemas.microsoft.com/office/drawing/2014/main" id="{7FF3DC3D-340C-4E40-99A4-105E0B1436A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3" name="TextBox 1">
          <a:extLst>
            <a:ext uri="{FF2B5EF4-FFF2-40B4-BE49-F238E27FC236}">
              <a16:creationId xmlns:a16="http://schemas.microsoft.com/office/drawing/2014/main" id="{274BEC39-B645-4530-9D51-DF7BF507855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4" name="TextBox 2153">
          <a:extLst>
            <a:ext uri="{FF2B5EF4-FFF2-40B4-BE49-F238E27FC236}">
              <a16:creationId xmlns:a16="http://schemas.microsoft.com/office/drawing/2014/main" id="{3C75AAFB-2DD6-4D48-8253-88E7573373C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5" name="TextBox 2154">
          <a:extLst>
            <a:ext uri="{FF2B5EF4-FFF2-40B4-BE49-F238E27FC236}">
              <a16:creationId xmlns:a16="http://schemas.microsoft.com/office/drawing/2014/main" id="{23FFA17E-94A9-4F14-9B3E-BDCF7399887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6" name="TextBox 2155">
          <a:extLst>
            <a:ext uri="{FF2B5EF4-FFF2-40B4-BE49-F238E27FC236}">
              <a16:creationId xmlns:a16="http://schemas.microsoft.com/office/drawing/2014/main" id="{BEC61FB9-86F8-497E-8C40-B40FCF487E8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7" name="TextBox 1">
          <a:extLst>
            <a:ext uri="{FF2B5EF4-FFF2-40B4-BE49-F238E27FC236}">
              <a16:creationId xmlns:a16="http://schemas.microsoft.com/office/drawing/2014/main" id="{6612D270-3DD7-4590-AE01-FD16ACE53E8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8" name="TextBox 1">
          <a:extLst>
            <a:ext uri="{FF2B5EF4-FFF2-40B4-BE49-F238E27FC236}">
              <a16:creationId xmlns:a16="http://schemas.microsoft.com/office/drawing/2014/main" id="{D4DA362C-D90F-4393-B66B-D5B82E1691F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59" name="TextBox 2158">
          <a:extLst>
            <a:ext uri="{FF2B5EF4-FFF2-40B4-BE49-F238E27FC236}">
              <a16:creationId xmlns:a16="http://schemas.microsoft.com/office/drawing/2014/main" id="{C7964FF9-11C2-4935-965D-4A540FF3B34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0" name="TextBox 2159">
          <a:extLst>
            <a:ext uri="{FF2B5EF4-FFF2-40B4-BE49-F238E27FC236}">
              <a16:creationId xmlns:a16="http://schemas.microsoft.com/office/drawing/2014/main" id="{8C2D83CB-6B39-4286-B836-F2A2E825C82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1" name="TextBox 1">
          <a:extLst>
            <a:ext uri="{FF2B5EF4-FFF2-40B4-BE49-F238E27FC236}">
              <a16:creationId xmlns:a16="http://schemas.microsoft.com/office/drawing/2014/main" id="{687A01E8-A54C-405F-BFC3-E17C7A8F74E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2" name="TextBox 1">
          <a:extLst>
            <a:ext uri="{FF2B5EF4-FFF2-40B4-BE49-F238E27FC236}">
              <a16:creationId xmlns:a16="http://schemas.microsoft.com/office/drawing/2014/main" id="{8FE15AF7-DE5C-49BA-8EE8-A91DDC5111C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3" name="TextBox 2162">
          <a:extLst>
            <a:ext uri="{FF2B5EF4-FFF2-40B4-BE49-F238E27FC236}">
              <a16:creationId xmlns:a16="http://schemas.microsoft.com/office/drawing/2014/main" id="{A92EC357-D724-484B-8EA6-77CEDE1F94E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4" name="TextBox 2163">
          <a:extLst>
            <a:ext uri="{FF2B5EF4-FFF2-40B4-BE49-F238E27FC236}">
              <a16:creationId xmlns:a16="http://schemas.microsoft.com/office/drawing/2014/main" id="{164E2B80-5209-4A23-98C0-D3CEB76646D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5" name="TextBox 1">
          <a:extLst>
            <a:ext uri="{FF2B5EF4-FFF2-40B4-BE49-F238E27FC236}">
              <a16:creationId xmlns:a16="http://schemas.microsoft.com/office/drawing/2014/main" id="{4B5D88CC-EC53-46CE-89DA-6BC3B05E972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6" name="TextBox 1">
          <a:extLst>
            <a:ext uri="{FF2B5EF4-FFF2-40B4-BE49-F238E27FC236}">
              <a16:creationId xmlns:a16="http://schemas.microsoft.com/office/drawing/2014/main" id="{864BA3F9-B450-4E0C-B1C7-AE89D8054AB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7" name="TextBox 2166">
          <a:extLst>
            <a:ext uri="{FF2B5EF4-FFF2-40B4-BE49-F238E27FC236}">
              <a16:creationId xmlns:a16="http://schemas.microsoft.com/office/drawing/2014/main" id="{530CF243-EB30-4D05-96B3-259A4FAE2D1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8" name="TextBox 2167">
          <a:extLst>
            <a:ext uri="{FF2B5EF4-FFF2-40B4-BE49-F238E27FC236}">
              <a16:creationId xmlns:a16="http://schemas.microsoft.com/office/drawing/2014/main" id="{89F40041-64C6-4520-976F-9BA4FAC0A19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69" name="TextBox 1">
          <a:extLst>
            <a:ext uri="{FF2B5EF4-FFF2-40B4-BE49-F238E27FC236}">
              <a16:creationId xmlns:a16="http://schemas.microsoft.com/office/drawing/2014/main" id="{3D122498-727E-4958-8946-AD00BF91989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0" name="TextBox 1">
          <a:extLst>
            <a:ext uri="{FF2B5EF4-FFF2-40B4-BE49-F238E27FC236}">
              <a16:creationId xmlns:a16="http://schemas.microsoft.com/office/drawing/2014/main" id="{3AA59E87-C8A6-4CDF-B7BD-246A5643A08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1" name="TextBox 2170">
          <a:extLst>
            <a:ext uri="{FF2B5EF4-FFF2-40B4-BE49-F238E27FC236}">
              <a16:creationId xmlns:a16="http://schemas.microsoft.com/office/drawing/2014/main" id="{2E6A2162-6BEF-44E0-9478-6101BCC6D87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2" name="TextBox 2171">
          <a:extLst>
            <a:ext uri="{FF2B5EF4-FFF2-40B4-BE49-F238E27FC236}">
              <a16:creationId xmlns:a16="http://schemas.microsoft.com/office/drawing/2014/main" id="{CD93BAAC-C270-4751-9C29-1B311111EA9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3" name="TextBox 1">
          <a:extLst>
            <a:ext uri="{FF2B5EF4-FFF2-40B4-BE49-F238E27FC236}">
              <a16:creationId xmlns:a16="http://schemas.microsoft.com/office/drawing/2014/main" id="{AEF800A3-563A-4893-A115-B9C7F72018D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4" name="TextBox 1">
          <a:extLst>
            <a:ext uri="{FF2B5EF4-FFF2-40B4-BE49-F238E27FC236}">
              <a16:creationId xmlns:a16="http://schemas.microsoft.com/office/drawing/2014/main" id="{54F6A6E3-BF58-4AB5-B3D4-8964B5E6285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5" name="TextBox 2174">
          <a:extLst>
            <a:ext uri="{FF2B5EF4-FFF2-40B4-BE49-F238E27FC236}">
              <a16:creationId xmlns:a16="http://schemas.microsoft.com/office/drawing/2014/main" id="{85F84F86-17CD-44E9-B46D-56F50ADC846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6" name="TextBox 2175">
          <a:extLst>
            <a:ext uri="{FF2B5EF4-FFF2-40B4-BE49-F238E27FC236}">
              <a16:creationId xmlns:a16="http://schemas.microsoft.com/office/drawing/2014/main" id="{A8106029-B7B9-401D-87CE-E35A50206C0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7" name="TextBox 1">
          <a:extLst>
            <a:ext uri="{FF2B5EF4-FFF2-40B4-BE49-F238E27FC236}">
              <a16:creationId xmlns:a16="http://schemas.microsoft.com/office/drawing/2014/main" id="{B2CD2021-04C7-493E-A0A6-644CEC1EE2E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8" name="TextBox 1">
          <a:extLst>
            <a:ext uri="{FF2B5EF4-FFF2-40B4-BE49-F238E27FC236}">
              <a16:creationId xmlns:a16="http://schemas.microsoft.com/office/drawing/2014/main" id="{94112E58-DA98-47BC-ABC8-0BEBEBECB13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79" name="TextBox 2178">
          <a:extLst>
            <a:ext uri="{FF2B5EF4-FFF2-40B4-BE49-F238E27FC236}">
              <a16:creationId xmlns:a16="http://schemas.microsoft.com/office/drawing/2014/main" id="{40E96E48-799E-4B94-B343-645D6D9725A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0" name="TextBox 2179">
          <a:extLst>
            <a:ext uri="{FF2B5EF4-FFF2-40B4-BE49-F238E27FC236}">
              <a16:creationId xmlns:a16="http://schemas.microsoft.com/office/drawing/2014/main" id="{A55DB761-6055-4353-9FDF-F00312FEE7F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1" name="TextBox 1">
          <a:extLst>
            <a:ext uri="{FF2B5EF4-FFF2-40B4-BE49-F238E27FC236}">
              <a16:creationId xmlns:a16="http://schemas.microsoft.com/office/drawing/2014/main" id="{DF680D64-EE1E-403C-A2B0-06FA7E2BA74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2" name="TextBox 1">
          <a:extLst>
            <a:ext uri="{FF2B5EF4-FFF2-40B4-BE49-F238E27FC236}">
              <a16:creationId xmlns:a16="http://schemas.microsoft.com/office/drawing/2014/main" id="{B758EE3C-EC81-4E5B-9911-80F7306B5CA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3" name="TextBox 2182">
          <a:extLst>
            <a:ext uri="{FF2B5EF4-FFF2-40B4-BE49-F238E27FC236}">
              <a16:creationId xmlns:a16="http://schemas.microsoft.com/office/drawing/2014/main" id="{981F9365-2698-44D3-B6C0-E4F00979B37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4" name="TextBox 2183">
          <a:extLst>
            <a:ext uri="{FF2B5EF4-FFF2-40B4-BE49-F238E27FC236}">
              <a16:creationId xmlns:a16="http://schemas.microsoft.com/office/drawing/2014/main" id="{B4494575-E01B-4F91-BD6A-BA4F912F735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5" name="TextBox 1">
          <a:extLst>
            <a:ext uri="{FF2B5EF4-FFF2-40B4-BE49-F238E27FC236}">
              <a16:creationId xmlns:a16="http://schemas.microsoft.com/office/drawing/2014/main" id="{6A97962C-5716-4197-9183-52EEC094527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6" name="TextBox 1">
          <a:extLst>
            <a:ext uri="{FF2B5EF4-FFF2-40B4-BE49-F238E27FC236}">
              <a16:creationId xmlns:a16="http://schemas.microsoft.com/office/drawing/2014/main" id="{4108495E-D2C6-4B80-8100-4C8EC40BE30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7" name="TextBox 2186">
          <a:extLst>
            <a:ext uri="{FF2B5EF4-FFF2-40B4-BE49-F238E27FC236}">
              <a16:creationId xmlns:a16="http://schemas.microsoft.com/office/drawing/2014/main" id="{9D23888F-2AB0-4D11-A24D-6F4C04A385A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8" name="TextBox 2187">
          <a:extLst>
            <a:ext uri="{FF2B5EF4-FFF2-40B4-BE49-F238E27FC236}">
              <a16:creationId xmlns:a16="http://schemas.microsoft.com/office/drawing/2014/main" id="{1B0DAFF6-B407-4610-911A-A8287E15F14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89" name="TextBox 1">
          <a:extLst>
            <a:ext uri="{FF2B5EF4-FFF2-40B4-BE49-F238E27FC236}">
              <a16:creationId xmlns:a16="http://schemas.microsoft.com/office/drawing/2014/main" id="{9DCCDAE6-3A47-4B4D-8D3F-9E996268E0B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0" name="TextBox 1">
          <a:extLst>
            <a:ext uri="{FF2B5EF4-FFF2-40B4-BE49-F238E27FC236}">
              <a16:creationId xmlns:a16="http://schemas.microsoft.com/office/drawing/2014/main" id="{5FDAB24B-35EE-4F05-8FAD-637921C4919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1" name="TextBox 2190">
          <a:extLst>
            <a:ext uri="{FF2B5EF4-FFF2-40B4-BE49-F238E27FC236}">
              <a16:creationId xmlns:a16="http://schemas.microsoft.com/office/drawing/2014/main" id="{1010917C-906B-45D3-8D4D-4049111AAD4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2" name="TextBox 2191">
          <a:extLst>
            <a:ext uri="{FF2B5EF4-FFF2-40B4-BE49-F238E27FC236}">
              <a16:creationId xmlns:a16="http://schemas.microsoft.com/office/drawing/2014/main" id="{2470B327-4E96-4528-887B-FC89A8F9046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3" name="TextBox 2192">
          <a:extLst>
            <a:ext uri="{FF2B5EF4-FFF2-40B4-BE49-F238E27FC236}">
              <a16:creationId xmlns:a16="http://schemas.microsoft.com/office/drawing/2014/main" id="{AA0AF31B-CFF4-46F5-94FC-1781004F4F7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4" name="TextBox 1">
          <a:extLst>
            <a:ext uri="{FF2B5EF4-FFF2-40B4-BE49-F238E27FC236}">
              <a16:creationId xmlns:a16="http://schemas.microsoft.com/office/drawing/2014/main" id="{4BBF895A-2A46-4881-986E-E12ADAC5B6E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5" name="TextBox 1">
          <a:extLst>
            <a:ext uri="{FF2B5EF4-FFF2-40B4-BE49-F238E27FC236}">
              <a16:creationId xmlns:a16="http://schemas.microsoft.com/office/drawing/2014/main" id="{76B319DF-D105-42DC-9D90-491A263CF6C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6" name="TextBox 2195">
          <a:extLst>
            <a:ext uri="{FF2B5EF4-FFF2-40B4-BE49-F238E27FC236}">
              <a16:creationId xmlns:a16="http://schemas.microsoft.com/office/drawing/2014/main" id="{260731F6-F836-4665-9938-AFDBAF8D4B3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7" name="TextBox 2196">
          <a:extLst>
            <a:ext uri="{FF2B5EF4-FFF2-40B4-BE49-F238E27FC236}">
              <a16:creationId xmlns:a16="http://schemas.microsoft.com/office/drawing/2014/main" id="{D6D2499A-A025-4CF0-8AFC-63936235025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8" name="TextBox 1">
          <a:extLst>
            <a:ext uri="{FF2B5EF4-FFF2-40B4-BE49-F238E27FC236}">
              <a16:creationId xmlns:a16="http://schemas.microsoft.com/office/drawing/2014/main" id="{84614CEA-C36E-4D0E-8FC6-7F56B94EF35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199" name="TextBox 1">
          <a:extLst>
            <a:ext uri="{FF2B5EF4-FFF2-40B4-BE49-F238E27FC236}">
              <a16:creationId xmlns:a16="http://schemas.microsoft.com/office/drawing/2014/main" id="{11125DF2-58EA-42FB-A635-991866548D0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0" name="TextBox 2199">
          <a:extLst>
            <a:ext uri="{FF2B5EF4-FFF2-40B4-BE49-F238E27FC236}">
              <a16:creationId xmlns:a16="http://schemas.microsoft.com/office/drawing/2014/main" id="{9F00BAC7-0124-4B05-B8DB-55CF750CA8C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1" name="TextBox 2200">
          <a:extLst>
            <a:ext uri="{FF2B5EF4-FFF2-40B4-BE49-F238E27FC236}">
              <a16:creationId xmlns:a16="http://schemas.microsoft.com/office/drawing/2014/main" id="{1A04FA92-DB7C-4C18-BD3E-D75C0A9CFFC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2" name="TextBox 1">
          <a:extLst>
            <a:ext uri="{FF2B5EF4-FFF2-40B4-BE49-F238E27FC236}">
              <a16:creationId xmlns:a16="http://schemas.microsoft.com/office/drawing/2014/main" id="{44A1A33D-4614-4AEB-8CDA-0E0784BEFFC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3" name="TextBox 1">
          <a:extLst>
            <a:ext uri="{FF2B5EF4-FFF2-40B4-BE49-F238E27FC236}">
              <a16:creationId xmlns:a16="http://schemas.microsoft.com/office/drawing/2014/main" id="{8245E041-3862-43D0-BF46-8EB88C54623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4" name="TextBox 2203">
          <a:extLst>
            <a:ext uri="{FF2B5EF4-FFF2-40B4-BE49-F238E27FC236}">
              <a16:creationId xmlns:a16="http://schemas.microsoft.com/office/drawing/2014/main" id="{D5A9D0FA-976C-4586-834D-BBE81F22C99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5" name="TextBox 2204">
          <a:extLst>
            <a:ext uri="{FF2B5EF4-FFF2-40B4-BE49-F238E27FC236}">
              <a16:creationId xmlns:a16="http://schemas.microsoft.com/office/drawing/2014/main" id="{66AC662C-4279-4CBE-85EF-7A440F64323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6" name="TextBox 1">
          <a:extLst>
            <a:ext uri="{FF2B5EF4-FFF2-40B4-BE49-F238E27FC236}">
              <a16:creationId xmlns:a16="http://schemas.microsoft.com/office/drawing/2014/main" id="{98FA423A-0775-4CCB-A43A-D96849C7DBF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7" name="TextBox 1">
          <a:extLst>
            <a:ext uri="{FF2B5EF4-FFF2-40B4-BE49-F238E27FC236}">
              <a16:creationId xmlns:a16="http://schemas.microsoft.com/office/drawing/2014/main" id="{639FE619-AFA9-4A48-A950-CFF8D24010C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8" name="TextBox 2207">
          <a:extLst>
            <a:ext uri="{FF2B5EF4-FFF2-40B4-BE49-F238E27FC236}">
              <a16:creationId xmlns:a16="http://schemas.microsoft.com/office/drawing/2014/main" id="{73ADA3A5-BD5D-47CC-9F2E-9C794A69E15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09" name="TextBox 2208">
          <a:extLst>
            <a:ext uri="{FF2B5EF4-FFF2-40B4-BE49-F238E27FC236}">
              <a16:creationId xmlns:a16="http://schemas.microsoft.com/office/drawing/2014/main" id="{E65A1BDB-FBA2-4177-B8A7-72488E6E877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0" name="TextBox 1">
          <a:extLst>
            <a:ext uri="{FF2B5EF4-FFF2-40B4-BE49-F238E27FC236}">
              <a16:creationId xmlns:a16="http://schemas.microsoft.com/office/drawing/2014/main" id="{A8FD1B7E-EE67-4C5F-82B3-E6918842D41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1" name="TextBox 1">
          <a:extLst>
            <a:ext uri="{FF2B5EF4-FFF2-40B4-BE49-F238E27FC236}">
              <a16:creationId xmlns:a16="http://schemas.microsoft.com/office/drawing/2014/main" id="{A48E28CA-B04E-4E4F-949F-88C038834D3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2" name="TextBox 2211">
          <a:extLst>
            <a:ext uri="{FF2B5EF4-FFF2-40B4-BE49-F238E27FC236}">
              <a16:creationId xmlns:a16="http://schemas.microsoft.com/office/drawing/2014/main" id="{C595A3D9-04A1-40DA-8C86-38CADFC9632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3" name="TextBox 2212">
          <a:extLst>
            <a:ext uri="{FF2B5EF4-FFF2-40B4-BE49-F238E27FC236}">
              <a16:creationId xmlns:a16="http://schemas.microsoft.com/office/drawing/2014/main" id="{053AC934-86E8-4DE4-8C8F-AA114344A41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4" name="TextBox 1">
          <a:extLst>
            <a:ext uri="{FF2B5EF4-FFF2-40B4-BE49-F238E27FC236}">
              <a16:creationId xmlns:a16="http://schemas.microsoft.com/office/drawing/2014/main" id="{017DC7A2-3502-4BFE-83BE-2DBCDF021B0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5" name="TextBox 1">
          <a:extLst>
            <a:ext uri="{FF2B5EF4-FFF2-40B4-BE49-F238E27FC236}">
              <a16:creationId xmlns:a16="http://schemas.microsoft.com/office/drawing/2014/main" id="{D90394FF-F8A7-4AFB-8F08-D25DB1F3E9D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6" name="TextBox 2215">
          <a:extLst>
            <a:ext uri="{FF2B5EF4-FFF2-40B4-BE49-F238E27FC236}">
              <a16:creationId xmlns:a16="http://schemas.microsoft.com/office/drawing/2014/main" id="{140FE9AA-EB91-4927-A713-90DDD82B9C1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7" name="TextBox 2216">
          <a:extLst>
            <a:ext uri="{FF2B5EF4-FFF2-40B4-BE49-F238E27FC236}">
              <a16:creationId xmlns:a16="http://schemas.microsoft.com/office/drawing/2014/main" id="{C9CD3211-0762-4646-A158-FD15C471E8A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8" name="TextBox 1">
          <a:extLst>
            <a:ext uri="{FF2B5EF4-FFF2-40B4-BE49-F238E27FC236}">
              <a16:creationId xmlns:a16="http://schemas.microsoft.com/office/drawing/2014/main" id="{212D296A-81D8-488C-A098-B3C0BBD71B9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19" name="TextBox 1">
          <a:extLst>
            <a:ext uri="{FF2B5EF4-FFF2-40B4-BE49-F238E27FC236}">
              <a16:creationId xmlns:a16="http://schemas.microsoft.com/office/drawing/2014/main" id="{80A91E43-4129-4455-9A17-E950A2DF521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0" name="TextBox 2219">
          <a:extLst>
            <a:ext uri="{FF2B5EF4-FFF2-40B4-BE49-F238E27FC236}">
              <a16:creationId xmlns:a16="http://schemas.microsoft.com/office/drawing/2014/main" id="{2B52707B-6C05-4238-90A0-821E555E477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1" name="TextBox 2220">
          <a:extLst>
            <a:ext uri="{FF2B5EF4-FFF2-40B4-BE49-F238E27FC236}">
              <a16:creationId xmlns:a16="http://schemas.microsoft.com/office/drawing/2014/main" id="{DE78D79F-49C7-49EB-BA43-391FF74953B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2" name="TextBox 1">
          <a:extLst>
            <a:ext uri="{FF2B5EF4-FFF2-40B4-BE49-F238E27FC236}">
              <a16:creationId xmlns:a16="http://schemas.microsoft.com/office/drawing/2014/main" id="{A6EF47AD-0CA5-4857-97E5-F062A4FF875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3" name="TextBox 1">
          <a:extLst>
            <a:ext uri="{FF2B5EF4-FFF2-40B4-BE49-F238E27FC236}">
              <a16:creationId xmlns:a16="http://schemas.microsoft.com/office/drawing/2014/main" id="{3D8EF94C-5251-4120-A388-6C71C21DCA3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4" name="TextBox 2223">
          <a:extLst>
            <a:ext uri="{FF2B5EF4-FFF2-40B4-BE49-F238E27FC236}">
              <a16:creationId xmlns:a16="http://schemas.microsoft.com/office/drawing/2014/main" id="{B9F13E42-680D-4575-BCDB-10C5724AD42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5" name="TextBox 2224">
          <a:extLst>
            <a:ext uri="{FF2B5EF4-FFF2-40B4-BE49-F238E27FC236}">
              <a16:creationId xmlns:a16="http://schemas.microsoft.com/office/drawing/2014/main" id="{2DDD17D4-DCB0-421D-AE61-1DF5AC3A918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6" name="TextBox 1">
          <a:extLst>
            <a:ext uri="{FF2B5EF4-FFF2-40B4-BE49-F238E27FC236}">
              <a16:creationId xmlns:a16="http://schemas.microsoft.com/office/drawing/2014/main" id="{86565D4B-E132-45DE-A97E-C010DE3AE54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7" name="TextBox 1">
          <a:extLst>
            <a:ext uri="{FF2B5EF4-FFF2-40B4-BE49-F238E27FC236}">
              <a16:creationId xmlns:a16="http://schemas.microsoft.com/office/drawing/2014/main" id="{4459B3A3-170A-479F-AE1A-AB960BE8D43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8" name="TextBox 2227">
          <a:extLst>
            <a:ext uri="{FF2B5EF4-FFF2-40B4-BE49-F238E27FC236}">
              <a16:creationId xmlns:a16="http://schemas.microsoft.com/office/drawing/2014/main" id="{AF6881E5-7573-45F8-894C-477E603D987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29" name="TextBox 2228">
          <a:extLst>
            <a:ext uri="{FF2B5EF4-FFF2-40B4-BE49-F238E27FC236}">
              <a16:creationId xmlns:a16="http://schemas.microsoft.com/office/drawing/2014/main" id="{35CB1566-1987-4D87-A9CB-FA0B8DA7405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0" name="TextBox 1">
          <a:extLst>
            <a:ext uri="{FF2B5EF4-FFF2-40B4-BE49-F238E27FC236}">
              <a16:creationId xmlns:a16="http://schemas.microsoft.com/office/drawing/2014/main" id="{E5944F6C-FDD0-484B-AEF7-0E72CCC0E7F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1" name="TextBox 1">
          <a:extLst>
            <a:ext uri="{FF2B5EF4-FFF2-40B4-BE49-F238E27FC236}">
              <a16:creationId xmlns:a16="http://schemas.microsoft.com/office/drawing/2014/main" id="{5C095CB4-5C89-4E57-8DC9-AEC794E4B20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2" name="TextBox 2231">
          <a:extLst>
            <a:ext uri="{FF2B5EF4-FFF2-40B4-BE49-F238E27FC236}">
              <a16:creationId xmlns:a16="http://schemas.microsoft.com/office/drawing/2014/main" id="{94530E17-4DAC-4B9C-9042-9C8E8FCBBBC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3" name="TextBox 2232">
          <a:extLst>
            <a:ext uri="{FF2B5EF4-FFF2-40B4-BE49-F238E27FC236}">
              <a16:creationId xmlns:a16="http://schemas.microsoft.com/office/drawing/2014/main" id="{DFD7B778-7DDF-4458-A788-EAEE6637E2D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4" name="TextBox 1">
          <a:extLst>
            <a:ext uri="{FF2B5EF4-FFF2-40B4-BE49-F238E27FC236}">
              <a16:creationId xmlns:a16="http://schemas.microsoft.com/office/drawing/2014/main" id="{C9F42E79-755B-4879-8579-3766F6960CB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5" name="TextBox 1">
          <a:extLst>
            <a:ext uri="{FF2B5EF4-FFF2-40B4-BE49-F238E27FC236}">
              <a16:creationId xmlns:a16="http://schemas.microsoft.com/office/drawing/2014/main" id="{95D6A173-51B6-47E2-AD59-B7C34396342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6" name="TextBox 2235">
          <a:extLst>
            <a:ext uri="{FF2B5EF4-FFF2-40B4-BE49-F238E27FC236}">
              <a16:creationId xmlns:a16="http://schemas.microsoft.com/office/drawing/2014/main" id="{5651FFC4-E227-4647-A379-E115A4864F1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7" name="TextBox 2236">
          <a:extLst>
            <a:ext uri="{FF2B5EF4-FFF2-40B4-BE49-F238E27FC236}">
              <a16:creationId xmlns:a16="http://schemas.microsoft.com/office/drawing/2014/main" id="{62AE0FED-C098-4893-A47E-48B82E642B4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8" name="TextBox 2237">
          <a:extLst>
            <a:ext uri="{FF2B5EF4-FFF2-40B4-BE49-F238E27FC236}">
              <a16:creationId xmlns:a16="http://schemas.microsoft.com/office/drawing/2014/main" id="{2E33C7DC-4793-49A6-B375-F27FC0A4645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39" name="TextBox 1">
          <a:extLst>
            <a:ext uri="{FF2B5EF4-FFF2-40B4-BE49-F238E27FC236}">
              <a16:creationId xmlns:a16="http://schemas.microsoft.com/office/drawing/2014/main" id="{77CC65E0-43F2-4F09-88D6-014E0736281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0" name="TextBox 1">
          <a:extLst>
            <a:ext uri="{FF2B5EF4-FFF2-40B4-BE49-F238E27FC236}">
              <a16:creationId xmlns:a16="http://schemas.microsoft.com/office/drawing/2014/main" id="{F26AEE89-3BC3-4AD3-AA65-1329B2D8421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1" name="TextBox 2240">
          <a:extLst>
            <a:ext uri="{FF2B5EF4-FFF2-40B4-BE49-F238E27FC236}">
              <a16:creationId xmlns:a16="http://schemas.microsoft.com/office/drawing/2014/main" id="{9BAAF068-A0C8-4865-A1F8-DDB5D4233D9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2" name="TextBox 2241">
          <a:extLst>
            <a:ext uri="{FF2B5EF4-FFF2-40B4-BE49-F238E27FC236}">
              <a16:creationId xmlns:a16="http://schemas.microsoft.com/office/drawing/2014/main" id="{954597DC-4DC9-4E30-A27F-50F93ED6FB7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3" name="TextBox 1">
          <a:extLst>
            <a:ext uri="{FF2B5EF4-FFF2-40B4-BE49-F238E27FC236}">
              <a16:creationId xmlns:a16="http://schemas.microsoft.com/office/drawing/2014/main" id="{59D08E1C-6D5D-4FDA-81A6-E0BE7DD90DD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4" name="TextBox 1">
          <a:extLst>
            <a:ext uri="{FF2B5EF4-FFF2-40B4-BE49-F238E27FC236}">
              <a16:creationId xmlns:a16="http://schemas.microsoft.com/office/drawing/2014/main" id="{656EFF1F-34FC-4948-A5F8-497B7172F82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5" name="TextBox 2244">
          <a:extLst>
            <a:ext uri="{FF2B5EF4-FFF2-40B4-BE49-F238E27FC236}">
              <a16:creationId xmlns:a16="http://schemas.microsoft.com/office/drawing/2014/main" id="{EF87CF90-899B-402A-B504-4CBED1880A2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6" name="TextBox 2245">
          <a:extLst>
            <a:ext uri="{FF2B5EF4-FFF2-40B4-BE49-F238E27FC236}">
              <a16:creationId xmlns:a16="http://schemas.microsoft.com/office/drawing/2014/main" id="{E8E55692-CCB5-46F2-A925-7436F3C9747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7" name="TextBox 1">
          <a:extLst>
            <a:ext uri="{FF2B5EF4-FFF2-40B4-BE49-F238E27FC236}">
              <a16:creationId xmlns:a16="http://schemas.microsoft.com/office/drawing/2014/main" id="{75B74639-F99E-4212-AC04-FF935751053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8" name="TextBox 1">
          <a:extLst>
            <a:ext uri="{FF2B5EF4-FFF2-40B4-BE49-F238E27FC236}">
              <a16:creationId xmlns:a16="http://schemas.microsoft.com/office/drawing/2014/main" id="{19746CC6-C28F-4A3A-93A1-45C12B57676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49" name="TextBox 2248">
          <a:extLst>
            <a:ext uri="{FF2B5EF4-FFF2-40B4-BE49-F238E27FC236}">
              <a16:creationId xmlns:a16="http://schemas.microsoft.com/office/drawing/2014/main" id="{32E21C55-DD1E-487C-8000-53BC7BA5734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0" name="TextBox 2249">
          <a:extLst>
            <a:ext uri="{FF2B5EF4-FFF2-40B4-BE49-F238E27FC236}">
              <a16:creationId xmlns:a16="http://schemas.microsoft.com/office/drawing/2014/main" id="{6BAF905C-11F7-448C-91F0-4A5B3CE1517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1" name="TextBox 1">
          <a:extLst>
            <a:ext uri="{FF2B5EF4-FFF2-40B4-BE49-F238E27FC236}">
              <a16:creationId xmlns:a16="http://schemas.microsoft.com/office/drawing/2014/main" id="{F3A7E602-09FB-41F2-99A4-0C2E9635F40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2" name="TextBox 1">
          <a:extLst>
            <a:ext uri="{FF2B5EF4-FFF2-40B4-BE49-F238E27FC236}">
              <a16:creationId xmlns:a16="http://schemas.microsoft.com/office/drawing/2014/main" id="{EC66E413-CDEF-47EE-8E2B-1BF51F403FA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3" name="TextBox 2252">
          <a:extLst>
            <a:ext uri="{FF2B5EF4-FFF2-40B4-BE49-F238E27FC236}">
              <a16:creationId xmlns:a16="http://schemas.microsoft.com/office/drawing/2014/main" id="{97D0E352-85D5-4F3C-BA14-F3E3403BAE9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4" name="TextBox 2253">
          <a:extLst>
            <a:ext uri="{FF2B5EF4-FFF2-40B4-BE49-F238E27FC236}">
              <a16:creationId xmlns:a16="http://schemas.microsoft.com/office/drawing/2014/main" id="{7432C713-849F-4EAB-8E64-03452A56F6F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5" name="TextBox 1">
          <a:extLst>
            <a:ext uri="{FF2B5EF4-FFF2-40B4-BE49-F238E27FC236}">
              <a16:creationId xmlns:a16="http://schemas.microsoft.com/office/drawing/2014/main" id="{1F18296D-0D5E-454A-8C11-DA2B341A2A0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6" name="TextBox 1">
          <a:extLst>
            <a:ext uri="{FF2B5EF4-FFF2-40B4-BE49-F238E27FC236}">
              <a16:creationId xmlns:a16="http://schemas.microsoft.com/office/drawing/2014/main" id="{C550035F-3B94-4CC3-93D8-2F6A734C817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7" name="TextBox 2256">
          <a:extLst>
            <a:ext uri="{FF2B5EF4-FFF2-40B4-BE49-F238E27FC236}">
              <a16:creationId xmlns:a16="http://schemas.microsoft.com/office/drawing/2014/main" id="{8B298065-1306-4C25-A5F3-E622F2B855C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8" name="TextBox 2257">
          <a:extLst>
            <a:ext uri="{FF2B5EF4-FFF2-40B4-BE49-F238E27FC236}">
              <a16:creationId xmlns:a16="http://schemas.microsoft.com/office/drawing/2014/main" id="{2827540D-8375-4013-B4FB-86082747F79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59" name="TextBox 1">
          <a:extLst>
            <a:ext uri="{FF2B5EF4-FFF2-40B4-BE49-F238E27FC236}">
              <a16:creationId xmlns:a16="http://schemas.microsoft.com/office/drawing/2014/main" id="{D76F29AD-7334-4DF6-B3BF-7AA1C420424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0" name="TextBox 1">
          <a:extLst>
            <a:ext uri="{FF2B5EF4-FFF2-40B4-BE49-F238E27FC236}">
              <a16:creationId xmlns:a16="http://schemas.microsoft.com/office/drawing/2014/main" id="{939535D1-5481-4F73-AFFF-E7E3209E476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1" name="TextBox 2260">
          <a:extLst>
            <a:ext uri="{FF2B5EF4-FFF2-40B4-BE49-F238E27FC236}">
              <a16:creationId xmlns:a16="http://schemas.microsoft.com/office/drawing/2014/main" id="{D0843E82-850A-49A2-80B2-12AAAAC0D6B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2" name="TextBox 2261">
          <a:extLst>
            <a:ext uri="{FF2B5EF4-FFF2-40B4-BE49-F238E27FC236}">
              <a16:creationId xmlns:a16="http://schemas.microsoft.com/office/drawing/2014/main" id="{88056A82-3814-442C-BBAE-A948C78D492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3" name="TextBox 1">
          <a:extLst>
            <a:ext uri="{FF2B5EF4-FFF2-40B4-BE49-F238E27FC236}">
              <a16:creationId xmlns:a16="http://schemas.microsoft.com/office/drawing/2014/main" id="{A02CE65E-5D76-4D51-B1AE-8128E0646BE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4" name="TextBox 1">
          <a:extLst>
            <a:ext uri="{FF2B5EF4-FFF2-40B4-BE49-F238E27FC236}">
              <a16:creationId xmlns:a16="http://schemas.microsoft.com/office/drawing/2014/main" id="{F0FF7AA3-802D-4414-864A-92D40CCDD73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5" name="TextBox 2264">
          <a:extLst>
            <a:ext uri="{FF2B5EF4-FFF2-40B4-BE49-F238E27FC236}">
              <a16:creationId xmlns:a16="http://schemas.microsoft.com/office/drawing/2014/main" id="{0CE70718-15E2-40FD-8479-6AF837B1593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6" name="TextBox 2265">
          <a:extLst>
            <a:ext uri="{FF2B5EF4-FFF2-40B4-BE49-F238E27FC236}">
              <a16:creationId xmlns:a16="http://schemas.microsoft.com/office/drawing/2014/main" id="{7B782F01-19BE-41A7-A162-313955D45EF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7" name="TextBox 1">
          <a:extLst>
            <a:ext uri="{FF2B5EF4-FFF2-40B4-BE49-F238E27FC236}">
              <a16:creationId xmlns:a16="http://schemas.microsoft.com/office/drawing/2014/main" id="{CB2B7AB2-87F5-48B1-A16E-4E6F112CF19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8" name="TextBox 1">
          <a:extLst>
            <a:ext uri="{FF2B5EF4-FFF2-40B4-BE49-F238E27FC236}">
              <a16:creationId xmlns:a16="http://schemas.microsoft.com/office/drawing/2014/main" id="{11570E55-A2B2-4C12-98C4-F2C7AE8BE87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69" name="TextBox 2268">
          <a:extLst>
            <a:ext uri="{FF2B5EF4-FFF2-40B4-BE49-F238E27FC236}">
              <a16:creationId xmlns:a16="http://schemas.microsoft.com/office/drawing/2014/main" id="{E5B50192-F1A1-4232-9ED7-F227A9CC9BE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0" name="TextBox 2269">
          <a:extLst>
            <a:ext uri="{FF2B5EF4-FFF2-40B4-BE49-F238E27FC236}">
              <a16:creationId xmlns:a16="http://schemas.microsoft.com/office/drawing/2014/main" id="{498AFF11-9FF4-4AEC-AC40-9C55D2E3192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1" name="TextBox 1">
          <a:extLst>
            <a:ext uri="{FF2B5EF4-FFF2-40B4-BE49-F238E27FC236}">
              <a16:creationId xmlns:a16="http://schemas.microsoft.com/office/drawing/2014/main" id="{5F2D3433-A607-4692-B4CD-CBBFA3D6F39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2" name="TextBox 1">
          <a:extLst>
            <a:ext uri="{FF2B5EF4-FFF2-40B4-BE49-F238E27FC236}">
              <a16:creationId xmlns:a16="http://schemas.microsoft.com/office/drawing/2014/main" id="{4370E661-793F-4282-B890-7CB8F7407EB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3" name="TextBox 2272">
          <a:extLst>
            <a:ext uri="{FF2B5EF4-FFF2-40B4-BE49-F238E27FC236}">
              <a16:creationId xmlns:a16="http://schemas.microsoft.com/office/drawing/2014/main" id="{C599ACE2-1267-40A0-8FB8-0A543828E86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4" name="TextBox 1">
          <a:extLst>
            <a:ext uri="{FF2B5EF4-FFF2-40B4-BE49-F238E27FC236}">
              <a16:creationId xmlns:a16="http://schemas.microsoft.com/office/drawing/2014/main" id="{3BFF21E2-B078-4C2E-8CDC-5BAA0137A35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5" name="TextBox 1">
          <a:extLst>
            <a:ext uri="{FF2B5EF4-FFF2-40B4-BE49-F238E27FC236}">
              <a16:creationId xmlns:a16="http://schemas.microsoft.com/office/drawing/2014/main" id="{EE565F97-1856-4F35-A0CC-F829762D166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6" name="TextBox 2275">
          <a:extLst>
            <a:ext uri="{FF2B5EF4-FFF2-40B4-BE49-F238E27FC236}">
              <a16:creationId xmlns:a16="http://schemas.microsoft.com/office/drawing/2014/main" id="{FD2152EC-2684-4D50-AFEC-77F3C184068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7" name="TextBox 1">
          <a:extLst>
            <a:ext uri="{FF2B5EF4-FFF2-40B4-BE49-F238E27FC236}">
              <a16:creationId xmlns:a16="http://schemas.microsoft.com/office/drawing/2014/main" id="{7EBEE4E1-6CF7-4950-8A50-0A13D91742A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8" name="TextBox 2277">
          <a:extLst>
            <a:ext uri="{FF2B5EF4-FFF2-40B4-BE49-F238E27FC236}">
              <a16:creationId xmlns:a16="http://schemas.microsoft.com/office/drawing/2014/main" id="{BA1440E9-51AE-4390-B2C5-EB269A01BBB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79" name="TextBox 1">
          <a:extLst>
            <a:ext uri="{FF2B5EF4-FFF2-40B4-BE49-F238E27FC236}">
              <a16:creationId xmlns:a16="http://schemas.microsoft.com/office/drawing/2014/main" id="{45458B92-9ECE-4D62-AFC6-5B485CD1600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0" name="TextBox 1">
          <a:extLst>
            <a:ext uri="{FF2B5EF4-FFF2-40B4-BE49-F238E27FC236}">
              <a16:creationId xmlns:a16="http://schemas.microsoft.com/office/drawing/2014/main" id="{17FCF778-F6DF-4D38-B12E-D524C5E8812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1" name="TextBox 2280">
          <a:extLst>
            <a:ext uri="{FF2B5EF4-FFF2-40B4-BE49-F238E27FC236}">
              <a16:creationId xmlns:a16="http://schemas.microsoft.com/office/drawing/2014/main" id="{E801DB13-CCB1-4EB2-B019-2350796FFF4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2" name="TextBox 2281">
          <a:extLst>
            <a:ext uri="{FF2B5EF4-FFF2-40B4-BE49-F238E27FC236}">
              <a16:creationId xmlns:a16="http://schemas.microsoft.com/office/drawing/2014/main" id="{9C0F9E1D-21F8-45C2-915B-BBABC4B2121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3" name="TextBox 1">
          <a:extLst>
            <a:ext uri="{FF2B5EF4-FFF2-40B4-BE49-F238E27FC236}">
              <a16:creationId xmlns:a16="http://schemas.microsoft.com/office/drawing/2014/main" id="{F952653D-3985-4A6E-A77C-D4E89DC35BB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4" name="TextBox 1">
          <a:extLst>
            <a:ext uri="{FF2B5EF4-FFF2-40B4-BE49-F238E27FC236}">
              <a16:creationId xmlns:a16="http://schemas.microsoft.com/office/drawing/2014/main" id="{B2DA1428-3753-431B-B380-B90CAB09EF0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5" name="TextBox 2284">
          <a:extLst>
            <a:ext uri="{FF2B5EF4-FFF2-40B4-BE49-F238E27FC236}">
              <a16:creationId xmlns:a16="http://schemas.microsoft.com/office/drawing/2014/main" id="{942066CF-6A69-48DF-975F-9AE64A3561E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6" name="TextBox 2285">
          <a:extLst>
            <a:ext uri="{FF2B5EF4-FFF2-40B4-BE49-F238E27FC236}">
              <a16:creationId xmlns:a16="http://schemas.microsoft.com/office/drawing/2014/main" id="{204F3AE8-2003-4B80-A59E-4801C43F856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7" name="TextBox 2286">
          <a:extLst>
            <a:ext uri="{FF2B5EF4-FFF2-40B4-BE49-F238E27FC236}">
              <a16:creationId xmlns:a16="http://schemas.microsoft.com/office/drawing/2014/main" id="{9EE220F2-A422-4AD0-9136-8BBF32C5317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8" name="TextBox 1">
          <a:extLst>
            <a:ext uri="{FF2B5EF4-FFF2-40B4-BE49-F238E27FC236}">
              <a16:creationId xmlns:a16="http://schemas.microsoft.com/office/drawing/2014/main" id="{464F9F90-D300-44F6-816C-BDF03A782DD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89" name="TextBox 1">
          <a:extLst>
            <a:ext uri="{FF2B5EF4-FFF2-40B4-BE49-F238E27FC236}">
              <a16:creationId xmlns:a16="http://schemas.microsoft.com/office/drawing/2014/main" id="{DC0C8B0A-9B95-4FB4-8A54-998F03F3D43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0" name="TextBox 2289">
          <a:extLst>
            <a:ext uri="{FF2B5EF4-FFF2-40B4-BE49-F238E27FC236}">
              <a16:creationId xmlns:a16="http://schemas.microsoft.com/office/drawing/2014/main" id="{FC63068F-E54B-452D-A18F-2A088478FC3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1" name="TextBox 2290">
          <a:extLst>
            <a:ext uri="{FF2B5EF4-FFF2-40B4-BE49-F238E27FC236}">
              <a16:creationId xmlns:a16="http://schemas.microsoft.com/office/drawing/2014/main" id="{E24FA357-9DDF-409D-B401-434E0988BAF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2" name="TextBox 1">
          <a:extLst>
            <a:ext uri="{FF2B5EF4-FFF2-40B4-BE49-F238E27FC236}">
              <a16:creationId xmlns:a16="http://schemas.microsoft.com/office/drawing/2014/main" id="{CAB6A21F-DEDA-42D8-BA7A-DD280EB64B6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3" name="TextBox 1">
          <a:extLst>
            <a:ext uri="{FF2B5EF4-FFF2-40B4-BE49-F238E27FC236}">
              <a16:creationId xmlns:a16="http://schemas.microsoft.com/office/drawing/2014/main" id="{DA97E5F3-A0DD-4C94-A2CF-658DF06D3B7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4" name="TextBox 2293">
          <a:extLst>
            <a:ext uri="{FF2B5EF4-FFF2-40B4-BE49-F238E27FC236}">
              <a16:creationId xmlns:a16="http://schemas.microsoft.com/office/drawing/2014/main" id="{15A73349-1056-47BB-AE74-A8ABBDA560C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5" name="TextBox 2294">
          <a:extLst>
            <a:ext uri="{FF2B5EF4-FFF2-40B4-BE49-F238E27FC236}">
              <a16:creationId xmlns:a16="http://schemas.microsoft.com/office/drawing/2014/main" id="{49BE1C0E-115C-4068-832F-70F1D47E0C4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6" name="TextBox 1">
          <a:extLst>
            <a:ext uri="{FF2B5EF4-FFF2-40B4-BE49-F238E27FC236}">
              <a16:creationId xmlns:a16="http://schemas.microsoft.com/office/drawing/2014/main" id="{BAB8FDC4-A885-44FE-A658-89948BAC801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7" name="TextBox 1">
          <a:extLst>
            <a:ext uri="{FF2B5EF4-FFF2-40B4-BE49-F238E27FC236}">
              <a16:creationId xmlns:a16="http://schemas.microsoft.com/office/drawing/2014/main" id="{55F55C5C-3441-4C37-A541-9C1C175C62D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8" name="TextBox 2297">
          <a:extLst>
            <a:ext uri="{FF2B5EF4-FFF2-40B4-BE49-F238E27FC236}">
              <a16:creationId xmlns:a16="http://schemas.microsoft.com/office/drawing/2014/main" id="{EAEAE4EB-AB1B-4042-BE47-C95FED4EF8A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299" name="TextBox 2298">
          <a:extLst>
            <a:ext uri="{FF2B5EF4-FFF2-40B4-BE49-F238E27FC236}">
              <a16:creationId xmlns:a16="http://schemas.microsoft.com/office/drawing/2014/main" id="{73E9C95B-EC5C-44BD-AC0A-DBA4D1337DF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0" name="TextBox 1">
          <a:extLst>
            <a:ext uri="{FF2B5EF4-FFF2-40B4-BE49-F238E27FC236}">
              <a16:creationId xmlns:a16="http://schemas.microsoft.com/office/drawing/2014/main" id="{EA43258B-07C3-427A-B712-6AD61524C12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1" name="TextBox 1">
          <a:extLst>
            <a:ext uri="{FF2B5EF4-FFF2-40B4-BE49-F238E27FC236}">
              <a16:creationId xmlns:a16="http://schemas.microsoft.com/office/drawing/2014/main" id="{E9ECB0FA-DD35-4EF4-A4F8-916DAD2B731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2" name="TextBox 2301">
          <a:extLst>
            <a:ext uri="{FF2B5EF4-FFF2-40B4-BE49-F238E27FC236}">
              <a16:creationId xmlns:a16="http://schemas.microsoft.com/office/drawing/2014/main" id="{FFEF5C1A-7570-46C2-9C62-10C326FBB20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3" name="TextBox 2302">
          <a:extLst>
            <a:ext uri="{FF2B5EF4-FFF2-40B4-BE49-F238E27FC236}">
              <a16:creationId xmlns:a16="http://schemas.microsoft.com/office/drawing/2014/main" id="{7D1F188C-A834-49AE-8E65-46DF0D997F0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4" name="TextBox 1">
          <a:extLst>
            <a:ext uri="{FF2B5EF4-FFF2-40B4-BE49-F238E27FC236}">
              <a16:creationId xmlns:a16="http://schemas.microsoft.com/office/drawing/2014/main" id="{E22C913D-4B04-4D77-8F63-EA4B6265D14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5" name="TextBox 1">
          <a:extLst>
            <a:ext uri="{FF2B5EF4-FFF2-40B4-BE49-F238E27FC236}">
              <a16:creationId xmlns:a16="http://schemas.microsoft.com/office/drawing/2014/main" id="{42E69CCF-F882-4C26-97F6-23B5AA26B1F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6" name="TextBox 2305">
          <a:extLst>
            <a:ext uri="{FF2B5EF4-FFF2-40B4-BE49-F238E27FC236}">
              <a16:creationId xmlns:a16="http://schemas.microsoft.com/office/drawing/2014/main" id="{56EDC3A3-EBFC-4CF8-80BC-6C7D0901F5B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7" name="TextBox 2306">
          <a:extLst>
            <a:ext uri="{FF2B5EF4-FFF2-40B4-BE49-F238E27FC236}">
              <a16:creationId xmlns:a16="http://schemas.microsoft.com/office/drawing/2014/main" id="{0121187A-F1B4-46B3-8E04-8D6776712E6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8" name="TextBox 1">
          <a:extLst>
            <a:ext uri="{FF2B5EF4-FFF2-40B4-BE49-F238E27FC236}">
              <a16:creationId xmlns:a16="http://schemas.microsoft.com/office/drawing/2014/main" id="{16D07D69-364A-4458-905E-FE6B234E412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09" name="TextBox 1">
          <a:extLst>
            <a:ext uri="{FF2B5EF4-FFF2-40B4-BE49-F238E27FC236}">
              <a16:creationId xmlns:a16="http://schemas.microsoft.com/office/drawing/2014/main" id="{48070861-83D9-4C1B-A62A-9BD7D2CBDB1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0" name="TextBox 2309">
          <a:extLst>
            <a:ext uri="{FF2B5EF4-FFF2-40B4-BE49-F238E27FC236}">
              <a16:creationId xmlns:a16="http://schemas.microsoft.com/office/drawing/2014/main" id="{1DAC50CC-0DC4-4F97-B4ED-F442E9BCB05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1" name="TextBox 2310">
          <a:extLst>
            <a:ext uri="{FF2B5EF4-FFF2-40B4-BE49-F238E27FC236}">
              <a16:creationId xmlns:a16="http://schemas.microsoft.com/office/drawing/2014/main" id="{CCAB8EB9-7ED2-4D56-BA4E-9DC468B5F52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2" name="TextBox 1">
          <a:extLst>
            <a:ext uri="{FF2B5EF4-FFF2-40B4-BE49-F238E27FC236}">
              <a16:creationId xmlns:a16="http://schemas.microsoft.com/office/drawing/2014/main" id="{CE7254E2-50C3-4B61-846F-9F4043507CF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3" name="TextBox 1">
          <a:extLst>
            <a:ext uri="{FF2B5EF4-FFF2-40B4-BE49-F238E27FC236}">
              <a16:creationId xmlns:a16="http://schemas.microsoft.com/office/drawing/2014/main" id="{88B2688B-2E82-42D3-BAEC-FAEF96CDB42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4" name="TextBox 2313">
          <a:extLst>
            <a:ext uri="{FF2B5EF4-FFF2-40B4-BE49-F238E27FC236}">
              <a16:creationId xmlns:a16="http://schemas.microsoft.com/office/drawing/2014/main" id="{648DFD46-0063-46F6-A4EE-177813D8013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5" name="TextBox 2314">
          <a:extLst>
            <a:ext uri="{FF2B5EF4-FFF2-40B4-BE49-F238E27FC236}">
              <a16:creationId xmlns:a16="http://schemas.microsoft.com/office/drawing/2014/main" id="{334417F5-E05C-4EE9-AD1B-D94F1EB087B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6" name="TextBox 1">
          <a:extLst>
            <a:ext uri="{FF2B5EF4-FFF2-40B4-BE49-F238E27FC236}">
              <a16:creationId xmlns:a16="http://schemas.microsoft.com/office/drawing/2014/main" id="{49302F27-DD04-46EC-B023-DD7EBFAEDD7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7" name="TextBox 1">
          <a:extLst>
            <a:ext uri="{FF2B5EF4-FFF2-40B4-BE49-F238E27FC236}">
              <a16:creationId xmlns:a16="http://schemas.microsoft.com/office/drawing/2014/main" id="{BCA4149E-A682-47F3-8D82-B781199B076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8" name="TextBox 2317">
          <a:extLst>
            <a:ext uri="{FF2B5EF4-FFF2-40B4-BE49-F238E27FC236}">
              <a16:creationId xmlns:a16="http://schemas.microsoft.com/office/drawing/2014/main" id="{35029E12-BE06-4EDB-8382-89A44A7BC6E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19" name="TextBox 2318">
          <a:extLst>
            <a:ext uri="{FF2B5EF4-FFF2-40B4-BE49-F238E27FC236}">
              <a16:creationId xmlns:a16="http://schemas.microsoft.com/office/drawing/2014/main" id="{EFE218FA-09F4-4C5A-B40F-3B691C33C0F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0" name="TextBox 1">
          <a:extLst>
            <a:ext uri="{FF2B5EF4-FFF2-40B4-BE49-F238E27FC236}">
              <a16:creationId xmlns:a16="http://schemas.microsoft.com/office/drawing/2014/main" id="{888719A0-6E5B-4423-BF7F-602ED247AF9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1" name="TextBox 1">
          <a:extLst>
            <a:ext uri="{FF2B5EF4-FFF2-40B4-BE49-F238E27FC236}">
              <a16:creationId xmlns:a16="http://schemas.microsoft.com/office/drawing/2014/main" id="{C97AA133-814C-42BF-91B2-E79F04FF1BE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2" name="TextBox 2321">
          <a:extLst>
            <a:ext uri="{FF2B5EF4-FFF2-40B4-BE49-F238E27FC236}">
              <a16:creationId xmlns:a16="http://schemas.microsoft.com/office/drawing/2014/main" id="{51AB6E9D-F45E-4D3F-9C49-5470B3D33B4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3" name="TextBox 2322">
          <a:extLst>
            <a:ext uri="{FF2B5EF4-FFF2-40B4-BE49-F238E27FC236}">
              <a16:creationId xmlns:a16="http://schemas.microsoft.com/office/drawing/2014/main" id="{5478FED9-38A9-49FC-A6F0-B32183664CF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4" name="TextBox 2323">
          <a:extLst>
            <a:ext uri="{FF2B5EF4-FFF2-40B4-BE49-F238E27FC236}">
              <a16:creationId xmlns:a16="http://schemas.microsoft.com/office/drawing/2014/main" id="{1A2FE438-B599-4F91-A8AC-CE07FC10EBE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5" name="TextBox 1">
          <a:extLst>
            <a:ext uri="{FF2B5EF4-FFF2-40B4-BE49-F238E27FC236}">
              <a16:creationId xmlns:a16="http://schemas.microsoft.com/office/drawing/2014/main" id="{B80F56F1-8601-4FB0-ABD9-AC2F2CC6E82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6" name="TextBox 1">
          <a:extLst>
            <a:ext uri="{FF2B5EF4-FFF2-40B4-BE49-F238E27FC236}">
              <a16:creationId xmlns:a16="http://schemas.microsoft.com/office/drawing/2014/main" id="{5F072C50-63B7-452B-B729-45A08BC13DD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7" name="TextBox 2326">
          <a:extLst>
            <a:ext uri="{FF2B5EF4-FFF2-40B4-BE49-F238E27FC236}">
              <a16:creationId xmlns:a16="http://schemas.microsoft.com/office/drawing/2014/main" id="{8CA71D8B-0F16-44A7-A9FC-CB1655E5B0C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8" name="TextBox 2327">
          <a:extLst>
            <a:ext uri="{FF2B5EF4-FFF2-40B4-BE49-F238E27FC236}">
              <a16:creationId xmlns:a16="http://schemas.microsoft.com/office/drawing/2014/main" id="{92295732-56A1-45FB-8B7E-7253A6989A3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29" name="TextBox 1">
          <a:extLst>
            <a:ext uri="{FF2B5EF4-FFF2-40B4-BE49-F238E27FC236}">
              <a16:creationId xmlns:a16="http://schemas.microsoft.com/office/drawing/2014/main" id="{8A6FB7E0-AC21-4E91-8B65-447F1DBA6DD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0" name="TextBox 1">
          <a:extLst>
            <a:ext uri="{FF2B5EF4-FFF2-40B4-BE49-F238E27FC236}">
              <a16:creationId xmlns:a16="http://schemas.microsoft.com/office/drawing/2014/main" id="{46DFA81B-A953-46AC-B23A-E2EC9FEC996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1" name="TextBox 2330">
          <a:extLst>
            <a:ext uri="{FF2B5EF4-FFF2-40B4-BE49-F238E27FC236}">
              <a16:creationId xmlns:a16="http://schemas.microsoft.com/office/drawing/2014/main" id="{6E2E4EBA-A324-4464-8CBC-A44BF837AA5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2" name="TextBox 2331">
          <a:extLst>
            <a:ext uri="{FF2B5EF4-FFF2-40B4-BE49-F238E27FC236}">
              <a16:creationId xmlns:a16="http://schemas.microsoft.com/office/drawing/2014/main" id="{7ED93212-0BA9-400F-ABB0-37821A4531B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3" name="TextBox 1">
          <a:extLst>
            <a:ext uri="{FF2B5EF4-FFF2-40B4-BE49-F238E27FC236}">
              <a16:creationId xmlns:a16="http://schemas.microsoft.com/office/drawing/2014/main" id="{0D2FF31B-7CA3-4FD9-9C0A-8A94DEAC7D0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4" name="TextBox 1">
          <a:extLst>
            <a:ext uri="{FF2B5EF4-FFF2-40B4-BE49-F238E27FC236}">
              <a16:creationId xmlns:a16="http://schemas.microsoft.com/office/drawing/2014/main" id="{17196B25-3D44-4A34-B6AE-81AE313BE9F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5" name="TextBox 2334">
          <a:extLst>
            <a:ext uri="{FF2B5EF4-FFF2-40B4-BE49-F238E27FC236}">
              <a16:creationId xmlns:a16="http://schemas.microsoft.com/office/drawing/2014/main" id="{C4504A87-A29D-475C-BD0D-9A27B8AB803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6" name="TextBox 2335">
          <a:extLst>
            <a:ext uri="{FF2B5EF4-FFF2-40B4-BE49-F238E27FC236}">
              <a16:creationId xmlns:a16="http://schemas.microsoft.com/office/drawing/2014/main" id="{9AD2CFAF-43C0-4C62-9452-C82C67070EC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7" name="TextBox 1">
          <a:extLst>
            <a:ext uri="{FF2B5EF4-FFF2-40B4-BE49-F238E27FC236}">
              <a16:creationId xmlns:a16="http://schemas.microsoft.com/office/drawing/2014/main" id="{4F106624-9DFD-4DC4-9CBA-D9F949D099C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8" name="TextBox 1">
          <a:extLst>
            <a:ext uri="{FF2B5EF4-FFF2-40B4-BE49-F238E27FC236}">
              <a16:creationId xmlns:a16="http://schemas.microsoft.com/office/drawing/2014/main" id="{681E1029-C4AD-428E-A003-92FFD1B446D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39" name="TextBox 2338">
          <a:extLst>
            <a:ext uri="{FF2B5EF4-FFF2-40B4-BE49-F238E27FC236}">
              <a16:creationId xmlns:a16="http://schemas.microsoft.com/office/drawing/2014/main" id="{02DEC6F2-2747-4932-BDED-1BF68D693B9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0" name="TextBox 2339">
          <a:extLst>
            <a:ext uri="{FF2B5EF4-FFF2-40B4-BE49-F238E27FC236}">
              <a16:creationId xmlns:a16="http://schemas.microsoft.com/office/drawing/2014/main" id="{DE778242-80CF-4C8A-8D30-BE9E3066FEC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1" name="TextBox 1">
          <a:extLst>
            <a:ext uri="{FF2B5EF4-FFF2-40B4-BE49-F238E27FC236}">
              <a16:creationId xmlns:a16="http://schemas.microsoft.com/office/drawing/2014/main" id="{6EE72FA2-BBAB-47D9-98C2-015A0CA3741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2" name="TextBox 1">
          <a:extLst>
            <a:ext uri="{FF2B5EF4-FFF2-40B4-BE49-F238E27FC236}">
              <a16:creationId xmlns:a16="http://schemas.microsoft.com/office/drawing/2014/main" id="{B2F3A378-E01C-4CDF-88A3-E60B35236BF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3" name="TextBox 2342">
          <a:extLst>
            <a:ext uri="{FF2B5EF4-FFF2-40B4-BE49-F238E27FC236}">
              <a16:creationId xmlns:a16="http://schemas.microsoft.com/office/drawing/2014/main" id="{EEB69EE3-00F9-4D9A-8FAC-FF44254F219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4" name="TextBox 2343">
          <a:extLst>
            <a:ext uri="{FF2B5EF4-FFF2-40B4-BE49-F238E27FC236}">
              <a16:creationId xmlns:a16="http://schemas.microsoft.com/office/drawing/2014/main" id="{FE194C20-124F-4BD9-B570-296D8DF0493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5" name="TextBox 1">
          <a:extLst>
            <a:ext uri="{FF2B5EF4-FFF2-40B4-BE49-F238E27FC236}">
              <a16:creationId xmlns:a16="http://schemas.microsoft.com/office/drawing/2014/main" id="{237F5530-C51B-4D46-8F71-24BD7671BDF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6" name="TextBox 1">
          <a:extLst>
            <a:ext uri="{FF2B5EF4-FFF2-40B4-BE49-F238E27FC236}">
              <a16:creationId xmlns:a16="http://schemas.microsoft.com/office/drawing/2014/main" id="{32FCEA87-7D98-4CBF-9ECE-E12B1595DCC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7" name="TextBox 2346">
          <a:extLst>
            <a:ext uri="{FF2B5EF4-FFF2-40B4-BE49-F238E27FC236}">
              <a16:creationId xmlns:a16="http://schemas.microsoft.com/office/drawing/2014/main" id="{664E19B4-E646-43F9-84EC-66D882E8522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8" name="TextBox 2347">
          <a:extLst>
            <a:ext uri="{FF2B5EF4-FFF2-40B4-BE49-F238E27FC236}">
              <a16:creationId xmlns:a16="http://schemas.microsoft.com/office/drawing/2014/main" id="{01FAAA33-BB44-434F-A3B1-791F4014904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49" name="TextBox 1">
          <a:extLst>
            <a:ext uri="{FF2B5EF4-FFF2-40B4-BE49-F238E27FC236}">
              <a16:creationId xmlns:a16="http://schemas.microsoft.com/office/drawing/2014/main" id="{AB4D9EC5-7EBA-4927-B781-BEA30CF5E22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0" name="TextBox 1">
          <a:extLst>
            <a:ext uri="{FF2B5EF4-FFF2-40B4-BE49-F238E27FC236}">
              <a16:creationId xmlns:a16="http://schemas.microsoft.com/office/drawing/2014/main" id="{AF0C11B7-F998-434B-B929-16F4DC9E12F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1" name="TextBox 2350">
          <a:extLst>
            <a:ext uri="{FF2B5EF4-FFF2-40B4-BE49-F238E27FC236}">
              <a16:creationId xmlns:a16="http://schemas.microsoft.com/office/drawing/2014/main" id="{7E614DFD-5D07-4950-8D1D-BB0741E800C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2" name="TextBox 2351">
          <a:extLst>
            <a:ext uri="{FF2B5EF4-FFF2-40B4-BE49-F238E27FC236}">
              <a16:creationId xmlns:a16="http://schemas.microsoft.com/office/drawing/2014/main" id="{82727216-9CF9-4A1E-9B23-3CE4370F3AF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3" name="TextBox 1">
          <a:extLst>
            <a:ext uri="{FF2B5EF4-FFF2-40B4-BE49-F238E27FC236}">
              <a16:creationId xmlns:a16="http://schemas.microsoft.com/office/drawing/2014/main" id="{9E304587-D3EF-4C31-866C-2D5F65741B2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4" name="TextBox 1">
          <a:extLst>
            <a:ext uri="{FF2B5EF4-FFF2-40B4-BE49-F238E27FC236}">
              <a16:creationId xmlns:a16="http://schemas.microsoft.com/office/drawing/2014/main" id="{5A1D4B83-80A6-4683-96DA-3AF9A12C2FE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5" name="TextBox 2354">
          <a:extLst>
            <a:ext uri="{FF2B5EF4-FFF2-40B4-BE49-F238E27FC236}">
              <a16:creationId xmlns:a16="http://schemas.microsoft.com/office/drawing/2014/main" id="{D80705AA-056C-4AAB-98B2-43D0B0A2927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6" name="TextBox 2355">
          <a:extLst>
            <a:ext uri="{FF2B5EF4-FFF2-40B4-BE49-F238E27FC236}">
              <a16:creationId xmlns:a16="http://schemas.microsoft.com/office/drawing/2014/main" id="{24C1B4C4-01FC-4DE5-A086-C5840196716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7" name="TextBox 1">
          <a:extLst>
            <a:ext uri="{FF2B5EF4-FFF2-40B4-BE49-F238E27FC236}">
              <a16:creationId xmlns:a16="http://schemas.microsoft.com/office/drawing/2014/main" id="{E67B6B34-8F2E-4908-BA36-2AE9E505EA7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8" name="TextBox 1">
          <a:extLst>
            <a:ext uri="{FF2B5EF4-FFF2-40B4-BE49-F238E27FC236}">
              <a16:creationId xmlns:a16="http://schemas.microsoft.com/office/drawing/2014/main" id="{04E3EE0C-774A-43D0-B7CF-832DEB81586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59" name="TextBox 2358">
          <a:extLst>
            <a:ext uri="{FF2B5EF4-FFF2-40B4-BE49-F238E27FC236}">
              <a16:creationId xmlns:a16="http://schemas.microsoft.com/office/drawing/2014/main" id="{FD27B11E-5785-4B23-9725-DE676046850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0" name="TextBox 2359">
          <a:extLst>
            <a:ext uri="{FF2B5EF4-FFF2-40B4-BE49-F238E27FC236}">
              <a16:creationId xmlns:a16="http://schemas.microsoft.com/office/drawing/2014/main" id="{A11500B7-63F4-4DE3-B18E-088CAC8C5C4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1" name="TextBox 1">
          <a:extLst>
            <a:ext uri="{FF2B5EF4-FFF2-40B4-BE49-F238E27FC236}">
              <a16:creationId xmlns:a16="http://schemas.microsoft.com/office/drawing/2014/main" id="{ED7B44EA-1CAB-4A9D-9A28-D7CEFB510EB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2" name="TextBox 1">
          <a:extLst>
            <a:ext uri="{FF2B5EF4-FFF2-40B4-BE49-F238E27FC236}">
              <a16:creationId xmlns:a16="http://schemas.microsoft.com/office/drawing/2014/main" id="{626160EA-B20E-4348-93E5-4E7614E1428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3" name="TextBox 2362">
          <a:extLst>
            <a:ext uri="{FF2B5EF4-FFF2-40B4-BE49-F238E27FC236}">
              <a16:creationId xmlns:a16="http://schemas.microsoft.com/office/drawing/2014/main" id="{983A9191-7C48-4473-8447-FE24464424B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4" name="TextBox 2363">
          <a:extLst>
            <a:ext uri="{FF2B5EF4-FFF2-40B4-BE49-F238E27FC236}">
              <a16:creationId xmlns:a16="http://schemas.microsoft.com/office/drawing/2014/main" id="{ED1E282C-3BBE-49D4-8C96-0E4910049AE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5" name="TextBox 1">
          <a:extLst>
            <a:ext uri="{FF2B5EF4-FFF2-40B4-BE49-F238E27FC236}">
              <a16:creationId xmlns:a16="http://schemas.microsoft.com/office/drawing/2014/main" id="{F3411A10-0580-4E6E-9EB9-6E9C7048369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6" name="TextBox 1">
          <a:extLst>
            <a:ext uri="{FF2B5EF4-FFF2-40B4-BE49-F238E27FC236}">
              <a16:creationId xmlns:a16="http://schemas.microsoft.com/office/drawing/2014/main" id="{0B9B179D-879F-4984-B334-A6543122CDC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7" name="TextBox 2366">
          <a:extLst>
            <a:ext uri="{FF2B5EF4-FFF2-40B4-BE49-F238E27FC236}">
              <a16:creationId xmlns:a16="http://schemas.microsoft.com/office/drawing/2014/main" id="{B847D18D-F68F-42EC-9A64-644C75B5B16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8" name="TextBox 2367">
          <a:extLst>
            <a:ext uri="{FF2B5EF4-FFF2-40B4-BE49-F238E27FC236}">
              <a16:creationId xmlns:a16="http://schemas.microsoft.com/office/drawing/2014/main" id="{0C8040FD-81BD-4445-944C-A4A3132EA3E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69" name="TextBox 2368">
          <a:extLst>
            <a:ext uri="{FF2B5EF4-FFF2-40B4-BE49-F238E27FC236}">
              <a16:creationId xmlns:a16="http://schemas.microsoft.com/office/drawing/2014/main" id="{2ECD07F0-4A71-486C-88C5-D7B18B7437C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0" name="TextBox 1">
          <a:extLst>
            <a:ext uri="{FF2B5EF4-FFF2-40B4-BE49-F238E27FC236}">
              <a16:creationId xmlns:a16="http://schemas.microsoft.com/office/drawing/2014/main" id="{0FB441E4-EC17-442B-86D0-1337205A642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1" name="TextBox 1">
          <a:extLst>
            <a:ext uri="{FF2B5EF4-FFF2-40B4-BE49-F238E27FC236}">
              <a16:creationId xmlns:a16="http://schemas.microsoft.com/office/drawing/2014/main" id="{DF981AC5-0718-42A4-BECF-F7969C23B0D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2" name="TextBox 2371">
          <a:extLst>
            <a:ext uri="{FF2B5EF4-FFF2-40B4-BE49-F238E27FC236}">
              <a16:creationId xmlns:a16="http://schemas.microsoft.com/office/drawing/2014/main" id="{08EB13BD-2690-4681-963A-BD2A7A947E6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3" name="TextBox 2372">
          <a:extLst>
            <a:ext uri="{FF2B5EF4-FFF2-40B4-BE49-F238E27FC236}">
              <a16:creationId xmlns:a16="http://schemas.microsoft.com/office/drawing/2014/main" id="{23A42696-AAF6-44A5-B0D5-356DB502864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4" name="TextBox 1">
          <a:extLst>
            <a:ext uri="{FF2B5EF4-FFF2-40B4-BE49-F238E27FC236}">
              <a16:creationId xmlns:a16="http://schemas.microsoft.com/office/drawing/2014/main" id="{8F8472A1-8CF6-4269-950B-353EDCBDC2B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5" name="TextBox 1">
          <a:extLst>
            <a:ext uri="{FF2B5EF4-FFF2-40B4-BE49-F238E27FC236}">
              <a16:creationId xmlns:a16="http://schemas.microsoft.com/office/drawing/2014/main" id="{E8C2ACC0-557A-48BD-BB6E-4E5C29B8C36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6" name="TextBox 2375">
          <a:extLst>
            <a:ext uri="{FF2B5EF4-FFF2-40B4-BE49-F238E27FC236}">
              <a16:creationId xmlns:a16="http://schemas.microsoft.com/office/drawing/2014/main" id="{C4CACE8B-9C03-4A69-B528-AA355C26F10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7" name="TextBox 2376">
          <a:extLst>
            <a:ext uri="{FF2B5EF4-FFF2-40B4-BE49-F238E27FC236}">
              <a16:creationId xmlns:a16="http://schemas.microsoft.com/office/drawing/2014/main" id="{4E5A6A4D-B6CD-4202-B574-B2045E5299C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8" name="TextBox 1">
          <a:extLst>
            <a:ext uri="{FF2B5EF4-FFF2-40B4-BE49-F238E27FC236}">
              <a16:creationId xmlns:a16="http://schemas.microsoft.com/office/drawing/2014/main" id="{949AFE4A-3A17-461E-A765-2FBE13E4A7C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79" name="TextBox 1">
          <a:extLst>
            <a:ext uri="{FF2B5EF4-FFF2-40B4-BE49-F238E27FC236}">
              <a16:creationId xmlns:a16="http://schemas.microsoft.com/office/drawing/2014/main" id="{BAF4AB39-5F78-4172-A370-52174EE8675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0" name="TextBox 2379">
          <a:extLst>
            <a:ext uri="{FF2B5EF4-FFF2-40B4-BE49-F238E27FC236}">
              <a16:creationId xmlns:a16="http://schemas.microsoft.com/office/drawing/2014/main" id="{AAD50B15-354A-4A4D-878B-FCD4496427C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1" name="TextBox 2380">
          <a:extLst>
            <a:ext uri="{FF2B5EF4-FFF2-40B4-BE49-F238E27FC236}">
              <a16:creationId xmlns:a16="http://schemas.microsoft.com/office/drawing/2014/main" id="{6F0B2BAA-A396-4BB6-9361-92E005C0F16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2" name="TextBox 1">
          <a:extLst>
            <a:ext uri="{FF2B5EF4-FFF2-40B4-BE49-F238E27FC236}">
              <a16:creationId xmlns:a16="http://schemas.microsoft.com/office/drawing/2014/main" id="{2C2CF80D-03CA-407F-AF11-1A09DEB030B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3" name="TextBox 1">
          <a:extLst>
            <a:ext uri="{FF2B5EF4-FFF2-40B4-BE49-F238E27FC236}">
              <a16:creationId xmlns:a16="http://schemas.microsoft.com/office/drawing/2014/main" id="{D0A40EA4-1F77-4405-8766-E8F918817E4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4" name="TextBox 2383">
          <a:extLst>
            <a:ext uri="{FF2B5EF4-FFF2-40B4-BE49-F238E27FC236}">
              <a16:creationId xmlns:a16="http://schemas.microsoft.com/office/drawing/2014/main" id="{9E3C068D-2B6B-43C7-8909-A3259A0D865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5" name="TextBox 2384">
          <a:extLst>
            <a:ext uri="{FF2B5EF4-FFF2-40B4-BE49-F238E27FC236}">
              <a16:creationId xmlns:a16="http://schemas.microsoft.com/office/drawing/2014/main" id="{6B9E883D-95FD-4D70-907F-13681A34237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6" name="TextBox 1">
          <a:extLst>
            <a:ext uri="{FF2B5EF4-FFF2-40B4-BE49-F238E27FC236}">
              <a16:creationId xmlns:a16="http://schemas.microsoft.com/office/drawing/2014/main" id="{253ADAB2-E98E-4B00-8CC4-679F4D341F8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7" name="TextBox 1">
          <a:extLst>
            <a:ext uri="{FF2B5EF4-FFF2-40B4-BE49-F238E27FC236}">
              <a16:creationId xmlns:a16="http://schemas.microsoft.com/office/drawing/2014/main" id="{0AB4C50B-B0DE-49C6-A301-025AB8A1847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8" name="TextBox 2387">
          <a:extLst>
            <a:ext uri="{FF2B5EF4-FFF2-40B4-BE49-F238E27FC236}">
              <a16:creationId xmlns:a16="http://schemas.microsoft.com/office/drawing/2014/main" id="{E56155FC-3BFB-4DE0-A92D-E2E39C80258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89" name="TextBox 2388">
          <a:extLst>
            <a:ext uri="{FF2B5EF4-FFF2-40B4-BE49-F238E27FC236}">
              <a16:creationId xmlns:a16="http://schemas.microsoft.com/office/drawing/2014/main" id="{79FB79DD-DEE9-4248-940A-FD5C69F0070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0" name="TextBox 1">
          <a:extLst>
            <a:ext uri="{FF2B5EF4-FFF2-40B4-BE49-F238E27FC236}">
              <a16:creationId xmlns:a16="http://schemas.microsoft.com/office/drawing/2014/main" id="{8AB8281D-770C-408A-939A-B7F350F9EF3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1" name="TextBox 1">
          <a:extLst>
            <a:ext uri="{FF2B5EF4-FFF2-40B4-BE49-F238E27FC236}">
              <a16:creationId xmlns:a16="http://schemas.microsoft.com/office/drawing/2014/main" id="{B2CD7A74-B8E7-421D-8EE8-2352E517F79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2" name="TextBox 2391">
          <a:extLst>
            <a:ext uri="{FF2B5EF4-FFF2-40B4-BE49-F238E27FC236}">
              <a16:creationId xmlns:a16="http://schemas.microsoft.com/office/drawing/2014/main" id="{41174520-D86E-41AB-8A6F-6B5BEE1F8A5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3" name="TextBox 2392">
          <a:extLst>
            <a:ext uri="{FF2B5EF4-FFF2-40B4-BE49-F238E27FC236}">
              <a16:creationId xmlns:a16="http://schemas.microsoft.com/office/drawing/2014/main" id="{0BCCFBFA-1CFB-46D4-98DE-FE21989E636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4" name="TextBox 1">
          <a:extLst>
            <a:ext uri="{FF2B5EF4-FFF2-40B4-BE49-F238E27FC236}">
              <a16:creationId xmlns:a16="http://schemas.microsoft.com/office/drawing/2014/main" id="{C80D7F76-5227-4EE7-9764-4C7A5A8CF75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5" name="TextBox 1">
          <a:extLst>
            <a:ext uri="{FF2B5EF4-FFF2-40B4-BE49-F238E27FC236}">
              <a16:creationId xmlns:a16="http://schemas.microsoft.com/office/drawing/2014/main" id="{BEEF51B6-3747-49AF-9DFE-9ED5D01CE17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6" name="TextBox 2395">
          <a:extLst>
            <a:ext uri="{FF2B5EF4-FFF2-40B4-BE49-F238E27FC236}">
              <a16:creationId xmlns:a16="http://schemas.microsoft.com/office/drawing/2014/main" id="{D74A14EF-35A1-49B9-99D2-FC9FEF4858A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7" name="TextBox 2396">
          <a:extLst>
            <a:ext uri="{FF2B5EF4-FFF2-40B4-BE49-F238E27FC236}">
              <a16:creationId xmlns:a16="http://schemas.microsoft.com/office/drawing/2014/main" id="{C2F8FD8F-B3E3-4A94-BEA1-B06E8D15F9B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8" name="TextBox 1">
          <a:extLst>
            <a:ext uri="{FF2B5EF4-FFF2-40B4-BE49-F238E27FC236}">
              <a16:creationId xmlns:a16="http://schemas.microsoft.com/office/drawing/2014/main" id="{DD62060F-8B90-421A-8D61-EAF6534AE64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399" name="TextBox 1">
          <a:extLst>
            <a:ext uri="{FF2B5EF4-FFF2-40B4-BE49-F238E27FC236}">
              <a16:creationId xmlns:a16="http://schemas.microsoft.com/office/drawing/2014/main" id="{905EC8F4-C160-4339-ACC6-A404AA178C7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0" name="TextBox 2399">
          <a:extLst>
            <a:ext uri="{FF2B5EF4-FFF2-40B4-BE49-F238E27FC236}">
              <a16:creationId xmlns:a16="http://schemas.microsoft.com/office/drawing/2014/main" id="{05042E0D-3722-470B-90AA-44E3971A482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1" name="TextBox 2400">
          <a:extLst>
            <a:ext uri="{FF2B5EF4-FFF2-40B4-BE49-F238E27FC236}">
              <a16:creationId xmlns:a16="http://schemas.microsoft.com/office/drawing/2014/main" id="{2E3A5CCC-1761-4456-A14A-06B659FCD91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2" name="TextBox 1">
          <a:extLst>
            <a:ext uri="{FF2B5EF4-FFF2-40B4-BE49-F238E27FC236}">
              <a16:creationId xmlns:a16="http://schemas.microsoft.com/office/drawing/2014/main" id="{9F45B21F-8125-4F62-B200-6E6A2EC0FAE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3" name="TextBox 1">
          <a:extLst>
            <a:ext uri="{FF2B5EF4-FFF2-40B4-BE49-F238E27FC236}">
              <a16:creationId xmlns:a16="http://schemas.microsoft.com/office/drawing/2014/main" id="{F80E5EBF-3B54-4150-A36D-F2029DB5C6C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4" name="TextBox 2403">
          <a:extLst>
            <a:ext uri="{FF2B5EF4-FFF2-40B4-BE49-F238E27FC236}">
              <a16:creationId xmlns:a16="http://schemas.microsoft.com/office/drawing/2014/main" id="{191B297D-4443-45B5-8FCB-86BE63CD9EA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5" name="TextBox 1">
          <a:extLst>
            <a:ext uri="{FF2B5EF4-FFF2-40B4-BE49-F238E27FC236}">
              <a16:creationId xmlns:a16="http://schemas.microsoft.com/office/drawing/2014/main" id="{0E522935-45A7-445B-95FD-AA4C032A0DE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6" name="TextBox 1">
          <a:extLst>
            <a:ext uri="{FF2B5EF4-FFF2-40B4-BE49-F238E27FC236}">
              <a16:creationId xmlns:a16="http://schemas.microsoft.com/office/drawing/2014/main" id="{D83536A2-2426-4FCF-9A2F-9BAAF93245A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7" name="TextBox 2406">
          <a:extLst>
            <a:ext uri="{FF2B5EF4-FFF2-40B4-BE49-F238E27FC236}">
              <a16:creationId xmlns:a16="http://schemas.microsoft.com/office/drawing/2014/main" id="{B9DE41BE-3562-4ABD-835A-87B7B5ACCA8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8" name="TextBox 1">
          <a:extLst>
            <a:ext uri="{FF2B5EF4-FFF2-40B4-BE49-F238E27FC236}">
              <a16:creationId xmlns:a16="http://schemas.microsoft.com/office/drawing/2014/main" id="{422B66ED-F96E-48F1-9684-4EE8E3EF9C2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09" name="TextBox 2408">
          <a:extLst>
            <a:ext uri="{FF2B5EF4-FFF2-40B4-BE49-F238E27FC236}">
              <a16:creationId xmlns:a16="http://schemas.microsoft.com/office/drawing/2014/main" id="{CF15F2BB-F59D-4FCA-96B5-AC56D1E2215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0" name="TextBox 1">
          <a:extLst>
            <a:ext uri="{FF2B5EF4-FFF2-40B4-BE49-F238E27FC236}">
              <a16:creationId xmlns:a16="http://schemas.microsoft.com/office/drawing/2014/main" id="{4853FA48-2226-4DFD-9948-17EC09D1731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1" name="TextBox 1">
          <a:extLst>
            <a:ext uri="{FF2B5EF4-FFF2-40B4-BE49-F238E27FC236}">
              <a16:creationId xmlns:a16="http://schemas.microsoft.com/office/drawing/2014/main" id="{8367044D-C1A4-4990-B3E2-3E7072D7E9B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2" name="TextBox 2411">
          <a:extLst>
            <a:ext uri="{FF2B5EF4-FFF2-40B4-BE49-F238E27FC236}">
              <a16:creationId xmlns:a16="http://schemas.microsoft.com/office/drawing/2014/main" id="{0DBD002E-06AE-46FB-A0E5-1A1F4BB6FAF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3" name="TextBox 2412">
          <a:extLst>
            <a:ext uri="{FF2B5EF4-FFF2-40B4-BE49-F238E27FC236}">
              <a16:creationId xmlns:a16="http://schemas.microsoft.com/office/drawing/2014/main" id="{E510DBC1-D464-486F-9E09-FAD83289331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4" name="TextBox 1">
          <a:extLst>
            <a:ext uri="{FF2B5EF4-FFF2-40B4-BE49-F238E27FC236}">
              <a16:creationId xmlns:a16="http://schemas.microsoft.com/office/drawing/2014/main" id="{95C6242A-027D-425A-94FB-F2022C2828C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5" name="TextBox 1">
          <a:extLst>
            <a:ext uri="{FF2B5EF4-FFF2-40B4-BE49-F238E27FC236}">
              <a16:creationId xmlns:a16="http://schemas.microsoft.com/office/drawing/2014/main" id="{E664A8D1-2C42-4EC0-A19E-E04818B4F57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6" name="TextBox 2415">
          <a:extLst>
            <a:ext uri="{FF2B5EF4-FFF2-40B4-BE49-F238E27FC236}">
              <a16:creationId xmlns:a16="http://schemas.microsoft.com/office/drawing/2014/main" id="{824DB78A-B004-4BD9-A3E8-F1F27EE5666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7" name="TextBox 2416">
          <a:extLst>
            <a:ext uri="{FF2B5EF4-FFF2-40B4-BE49-F238E27FC236}">
              <a16:creationId xmlns:a16="http://schemas.microsoft.com/office/drawing/2014/main" id="{C14E3078-2D7A-4046-BBF3-717F5FF14E9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8" name="TextBox 2417">
          <a:extLst>
            <a:ext uri="{FF2B5EF4-FFF2-40B4-BE49-F238E27FC236}">
              <a16:creationId xmlns:a16="http://schemas.microsoft.com/office/drawing/2014/main" id="{71C8F7C2-9DD5-4DA1-8099-8C2FBE78C38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19" name="TextBox 1">
          <a:extLst>
            <a:ext uri="{FF2B5EF4-FFF2-40B4-BE49-F238E27FC236}">
              <a16:creationId xmlns:a16="http://schemas.microsoft.com/office/drawing/2014/main" id="{D25E975A-1D74-4C59-801F-8D276416C00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0" name="TextBox 1">
          <a:extLst>
            <a:ext uri="{FF2B5EF4-FFF2-40B4-BE49-F238E27FC236}">
              <a16:creationId xmlns:a16="http://schemas.microsoft.com/office/drawing/2014/main" id="{25D8362A-BCD4-4F3C-BF15-273D41F0E44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1" name="TextBox 2420">
          <a:extLst>
            <a:ext uri="{FF2B5EF4-FFF2-40B4-BE49-F238E27FC236}">
              <a16:creationId xmlns:a16="http://schemas.microsoft.com/office/drawing/2014/main" id="{B5C8C910-4139-43A7-862D-A20E1D1E3BF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2" name="TextBox 2421">
          <a:extLst>
            <a:ext uri="{FF2B5EF4-FFF2-40B4-BE49-F238E27FC236}">
              <a16:creationId xmlns:a16="http://schemas.microsoft.com/office/drawing/2014/main" id="{52192521-1BA9-4F2D-9C42-AEF0DEA103F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3" name="TextBox 1">
          <a:extLst>
            <a:ext uri="{FF2B5EF4-FFF2-40B4-BE49-F238E27FC236}">
              <a16:creationId xmlns:a16="http://schemas.microsoft.com/office/drawing/2014/main" id="{5C1B31AE-F283-4420-8820-D3F9F6A6804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4" name="TextBox 1">
          <a:extLst>
            <a:ext uri="{FF2B5EF4-FFF2-40B4-BE49-F238E27FC236}">
              <a16:creationId xmlns:a16="http://schemas.microsoft.com/office/drawing/2014/main" id="{78660C23-0B9A-4D1C-BCEB-BEC6B15286C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5" name="TextBox 2424">
          <a:extLst>
            <a:ext uri="{FF2B5EF4-FFF2-40B4-BE49-F238E27FC236}">
              <a16:creationId xmlns:a16="http://schemas.microsoft.com/office/drawing/2014/main" id="{AD644CA7-EAD5-4F8A-8028-AD4314F932D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6" name="TextBox 2425">
          <a:extLst>
            <a:ext uri="{FF2B5EF4-FFF2-40B4-BE49-F238E27FC236}">
              <a16:creationId xmlns:a16="http://schemas.microsoft.com/office/drawing/2014/main" id="{8DC93664-A794-44FF-95B6-FE30DB6909A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7" name="TextBox 1">
          <a:extLst>
            <a:ext uri="{FF2B5EF4-FFF2-40B4-BE49-F238E27FC236}">
              <a16:creationId xmlns:a16="http://schemas.microsoft.com/office/drawing/2014/main" id="{01EE3783-257B-41E7-90FF-CBAE4EF65A9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8" name="TextBox 1">
          <a:extLst>
            <a:ext uri="{FF2B5EF4-FFF2-40B4-BE49-F238E27FC236}">
              <a16:creationId xmlns:a16="http://schemas.microsoft.com/office/drawing/2014/main" id="{F1511DBA-7901-401C-A608-6281EDEC38B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29" name="TextBox 2428">
          <a:extLst>
            <a:ext uri="{FF2B5EF4-FFF2-40B4-BE49-F238E27FC236}">
              <a16:creationId xmlns:a16="http://schemas.microsoft.com/office/drawing/2014/main" id="{057954AC-8AA1-496B-8EDD-F5AD22BFEAD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0" name="TextBox 2429">
          <a:extLst>
            <a:ext uri="{FF2B5EF4-FFF2-40B4-BE49-F238E27FC236}">
              <a16:creationId xmlns:a16="http://schemas.microsoft.com/office/drawing/2014/main" id="{45475C65-6DF8-4FF2-A85A-9BB922C57AE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1" name="TextBox 1">
          <a:extLst>
            <a:ext uri="{FF2B5EF4-FFF2-40B4-BE49-F238E27FC236}">
              <a16:creationId xmlns:a16="http://schemas.microsoft.com/office/drawing/2014/main" id="{E8D063CE-CFE2-4B20-BDA0-2C5AF1AEA56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2" name="TextBox 1">
          <a:extLst>
            <a:ext uri="{FF2B5EF4-FFF2-40B4-BE49-F238E27FC236}">
              <a16:creationId xmlns:a16="http://schemas.microsoft.com/office/drawing/2014/main" id="{AA031288-2F08-44BC-A54F-B7A3BBD729A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3" name="TextBox 2432">
          <a:extLst>
            <a:ext uri="{FF2B5EF4-FFF2-40B4-BE49-F238E27FC236}">
              <a16:creationId xmlns:a16="http://schemas.microsoft.com/office/drawing/2014/main" id="{7EB0AB6D-A648-4652-87EF-F5C331B08C1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4" name="TextBox 2433">
          <a:extLst>
            <a:ext uri="{FF2B5EF4-FFF2-40B4-BE49-F238E27FC236}">
              <a16:creationId xmlns:a16="http://schemas.microsoft.com/office/drawing/2014/main" id="{E5CA556C-F2BF-4AB4-9053-228DA3BDD97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5" name="TextBox 1">
          <a:extLst>
            <a:ext uri="{FF2B5EF4-FFF2-40B4-BE49-F238E27FC236}">
              <a16:creationId xmlns:a16="http://schemas.microsoft.com/office/drawing/2014/main" id="{17ED10A5-EE9E-4A22-860D-212DBF500EE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6" name="TextBox 1">
          <a:extLst>
            <a:ext uri="{FF2B5EF4-FFF2-40B4-BE49-F238E27FC236}">
              <a16:creationId xmlns:a16="http://schemas.microsoft.com/office/drawing/2014/main" id="{94BAD0ED-C626-45F8-BE03-354BC1D3021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7" name="TextBox 2436">
          <a:extLst>
            <a:ext uri="{FF2B5EF4-FFF2-40B4-BE49-F238E27FC236}">
              <a16:creationId xmlns:a16="http://schemas.microsoft.com/office/drawing/2014/main" id="{F3625719-5F74-4095-B683-BAC2B45D300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8" name="TextBox 2437">
          <a:extLst>
            <a:ext uri="{FF2B5EF4-FFF2-40B4-BE49-F238E27FC236}">
              <a16:creationId xmlns:a16="http://schemas.microsoft.com/office/drawing/2014/main" id="{EF070B35-9B7D-45FC-92EE-9D201DD74FF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39" name="TextBox 1">
          <a:extLst>
            <a:ext uri="{FF2B5EF4-FFF2-40B4-BE49-F238E27FC236}">
              <a16:creationId xmlns:a16="http://schemas.microsoft.com/office/drawing/2014/main" id="{98619ECB-A47E-46AE-ACAB-74DD9513203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0" name="TextBox 1">
          <a:extLst>
            <a:ext uri="{FF2B5EF4-FFF2-40B4-BE49-F238E27FC236}">
              <a16:creationId xmlns:a16="http://schemas.microsoft.com/office/drawing/2014/main" id="{77D2B0F1-5604-4B70-B03A-10726F2F261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1" name="TextBox 2440">
          <a:extLst>
            <a:ext uri="{FF2B5EF4-FFF2-40B4-BE49-F238E27FC236}">
              <a16:creationId xmlns:a16="http://schemas.microsoft.com/office/drawing/2014/main" id="{07CCBB25-EEBC-47CA-865F-581A86B1E4E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2" name="TextBox 2441">
          <a:extLst>
            <a:ext uri="{FF2B5EF4-FFF2-40B4-BE49-F238E27FC236}">
              <a16:creationId xmlns:a16="http://schemas.microsoft.com/office/drawing/2014/main" id="{5A01C78E-87D9-4DA6-AD8C-08DB685ADA9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3" name="TextBox 1">
          <a:extLst>
            <a:ext uri="{FF2B5EF4-FFF2-40B4-BE49-F238E27FC236}">
              <a16:creationId xmlns:a16="http://schemas.microsoft.com/office/drawing/2014/main" id="{D604102F-B910-4851-9899-1D98648291F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4" name="TextBox 1">
          <a:extLst>
            <a:ext uri="{FF2B5EF4-FFF2-40B4-BE49-F238E27FC236}">
              <a16:creationId xmlns:a16="http://schemas.microsoft.com/office/drawing/2014/main" id="{AA8C382D-6AA5-403A-8E07-4D0866B9032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5" name="TextBox 2444">
          <a:extLst>
            <a:ext uri="{FF2B5EF4-FFF2-40B4-BE49-F238E27FC236}">
              <a16:creationId xmlns:a16="http://schemas.microsoft.com/office/drawing/2014/main" id="{D9752A8C-3CD8-476C-B615-196A044F0CB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6" name="TextBox 2445">
          <a:extLst>
            <a:ext uri="{FF2B5EF4-FFF2-40B4-BE49-F238E27FC236}">
              <a16:creationId xmlns:a16="http://schemas.microsoft.com/office/drawing/2014/main" id="{386E2105-2A84-4692-936A-DE47109BE0F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7" name="TextBox 1">
          <a:extLst>
            <a:ext uri="{FF2B5EF4-FFF2-40B4-BE49-F238E27FC236}">
              <a16:creationId xmlns:a16="http://schemas.microsoft.com/office/drawing/2014/main" id="{051638FD-E017-42B0-A6F4-DC35DA544F4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8" name="TextBox 1">
          <a:extLst>
            <a:ext uri="{FF2B5EF4-FFF2-40B4-BE49-F238E27FC236}">
              <a16:creationId xmlns:a16="http://schemas.microsoft.com/office/drawing/2014/main" id="{834D6E23-3E94-414A-9A91-9CE9B5F80E6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49" name="TextBox 2448">
          <a:extLst>
            <a:ext uri="{FF2B5EF4-FFF2-40B4-BE49-F238E27FC236}">
              <a16:creationId xmlns:a16="http://schemas.microsoft.com/office/drawing/2014/main" id="{654C0CF6-8EC4-47E9-B1A0-CB025E33489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0" name="TextBox 2449">
          <a:extLst>
            <a:ext uri="{FF2B5EF4-FFF2-40B4-BE49-F238E27FC236}">
              <a16:creationId xmlns:a16="http://schemas.microsoft.com/office/drawing/2014/main" id="{906558D4-005C-41CA-B7E1-CE5E8019CBC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1" name="TextBox 1">
          <a:extLst>
            <a:ext uri="{FF2B5EF4-FFF2-40B4-BE49-F238E27FC236}">
              <a16:creationId xmlns:a16="http://schemas.microsoft.com/office/drawing/2014/main" id="{FEA2FAFD-A342-4174-A523-2558C63D733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2" name="TextBox 1">
          <a:extLst>
            <a:ext uri="{FF2B5EF4-FFF2-40B4-BE49-F238E27FC236}">
              <a16:creationId xmlns:a16="http://schemas.microsoft.com/office/drawing/2014/main" id="{08B00994-A525-4C00-8E45-3B239AAC172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3" name="TextBox 2452">
          <a:extLst>
            <a:ext uri="{FF2B5EF4-FFF2-40B4-BE49-F238E27FC236}">
              <a16:creationId xmlns:a16="http://schemas.microsoft.com/office/drawing/2014/main" id="{3C934B59-27E2-4EB5-9FFB-47DDE0F3CF0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4" name="TextBox 2453">
          <a:extLst>
            <a:ext uri="{FF2B5EF4-FFF2-40B4-BE49-F238E27FC236}">
              <a16:creationId xmlns:a16="http://schemas.microsoft.com/office/drawing/2014/main" id="{E712F1DF-24B2-4514-A854-5CAD5D21685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5" name="TextBox 2454">
          <a:extLst>
            <a:ext uri="{FF2B5EF4-FFF2-40B4-BE49-F238E27FC236}">
              <a16:creationId xmlns:a16="http://schemas.microsoft.com/office/drawing/2014/main" id="{A255F700-B530-4A17-A52B-6EB64BC2C68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6" name="TextBox 1">
          <a:extLst>
            <a:ext uri="{FF2B5EF4-FFF2-40B4-BE49-F238E27FC236}">
              <a16:creationId xmlns:a16="http://schemas.microsoft.com/office/drawing/2014/main" id="{DF4F4971-4ECB-42A7-92E9-78E5909F535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7" name="TextBox 1">
          <a:extLst>
            <a:ext uri="{FF2B5EF4-FFF2-40B4-BE49-F238E27FC236}">
              <a16:creationId xmlns:a16="http://schemas.microsoft.com/office/drawing/2014/main" id="{CE682A62-F428-47A3-BBD8-35762C35E5D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8" name="TextBox 2457">
          <a:extLst>
            <a:ext uri="{FF2B5EF4-FFF2-40B4-BE49-F238E27FC236}">
              <a16:creationId xmlns:a16="http://schemas.microsoft.com/office/drawing/2014/main" id="{F251C0F3-E8C2-4992-A272-41EEE9E7EAE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59" name="TextBox 2458">
          <a:extLst>
            <a:ext uri="{FF2B5EF4-FFF2-40B4-BE49-F238E27FC236}">
              <a16:creationId xmlns:a16="http://schemas.microsoft.com/office/drawing/2014/main" id="{5BBFC6BC-EC30-4C88-B4E0-1367FBE93AD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0" name="TextBox 1">
          <a:extLst>
            <a:ext uri="{FF2B5EF4-FFF2-40B4-BE49-F238E27FC236}">
              <a16:creationId xmlns:a16="http://schemas.microsoft.com/office/drawing/2014/main" id="{5BC80026-6AAC-4EFC-90D8-2FB67A1FA30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1" name="TextBox 1">
          <a:extLst>
            <a:ext uri="{FF2B5EF4-FFF2-40B4-BE49-F238E27FC236}">
              <a16:creationId xmlns:a16="http://schemas.microsoft.com/office/drawing/2014/main" id="{806570C9-7A56-43F2-BD8B-99AB04B13C4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2" name="TextBox 2461">
          <a:extLst>
            <a:ext uri="{FF2B5EF4-FFF2-40B4-BE49-F238E27FC236}">
              <a16:creationId xmlns:a16="http://schemas.microsoft.com/office/drawing/2014/main" id="{441C7D40-860A-4F61-A818-FBAD627991C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3" name="TextBox 2462">
          <a:extLst>
            <a:ext uri="{FF2B5EF4-FFF2-40B4-BE49-F238E27FC236}">
              <a16:creationId xmlns:a16="http://schemas.microsoft.com/office/drawing/2014/main" id="{DE2073B3-C578-4D6E-B476-8E33A0BB6D3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4" name="TextBox 1">
          <a:extLst>
            <a:ext uri="{FF2B5EF4-FFF2-40B4-BE49-F238E27FC236}">
              <a16:creationId xmlns:a16="http://schemas.microsoft.com/office/drawing/2014/main" id="{0850D908-E567-495B-9EFF-EB27B8A4F2A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5" name="TextBox 1">
          <a:extLst>
            <a:ext uri="{FF2B5EF4-FFF2-40B4-BE49-F238E27FC236}">
              <a16:creationId xmlns:a16="http://schemas.microsoft.com/office/drawing/2014/main" id="{E4A08021-86A8-4005-A43D-AFBC4E11C6A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6" name="TextBox 2465">
          <a:extLst>
            <a:ext uri="{FF2B5EF4-FFF2-40B4-BE49-F238E27FC236}">
              <a16:creationId xmlns:a16="http://schemas.microsoft.com/office/drawing/2014/main" id="{2474A2DD-F4E0-4ED7-A875-F2BBB358B54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7" name="TextBox 2466">
          <a:extLst>
            <a:ext uri="{FF2B5EF4-FFF2-40B4-BE49-F238E27FC236}">
              <a16:creationId xmlns:a16="http://schemas.microsoft.com/office/drawing/2014/main" id="{39A8C3AC-7A3F-478C-B68C-C46F2213393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8" name="TextBox 1">
          <a:extLst>
            <a:ext uri="{FF2B5EF4-FFF2-40B4-BE49-F238E27FC236}">
              <a16:creationId xmlns:a16="http://schemas.microsoft.com/office/drawing/2014/main" id="{5EC0AA42-B5FA-4AA9-9034-7F0FCBCA136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69" name="TextBox 1">
          <a:extLst>
            <a:ext uri="{FF2B5EF4-FFF2-40B4-BE49-F238E27FC236}">
              <a16:creationId xmlns:a16="http://schemas.microsoft.com/office/drawing/2014/main" id="{A9829FD7-40FC-4991-A72C-8BE8BCAFE87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0" name="TextBox 2469">
          <a:extLst>
            <a:ext uri="{FF2B5EF4-FFF2-40B4-BE49-F238E27FC236}">
              <a16:creationId xmlns:a16="http://schemas.microsoft.com/office/drawing/2014/main" id="{451EF64A-56FC-442A-AE18-90C499A9AD3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1" name="TextBox 2470">
          <a:extLst>
            <a:ext uri="{FF2B5EF4-FFF2-40B4-BE49-F238E27FC236}">
              <a16:creationId xmlns:a16="http://schemas.microsoft.com/office/drawing/2014/main" id="{0C953D33-1CD8-4B37-AD71-A68ECC10CE2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2" name="TextBox 1">
          <a:extLst>
            <a:ext uri="{FF2B5EF4-FFF2-40B4-BE49-F238E27FC236}">
              <a16:creationId xmlns:a16="http://schemas.microsoft.com/office/drawing/2014/main" id="{B9D87FA8-57AC-450F-AF04-EA00D19BA13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3" name="TextBox 1">
          <a:extLst>
            <a:ext uri="{FF2B5EF4-FFF2-40B4-BE49-F238E27FC236}">
              <a16:creationId xmlns:a16="http://schemas.microsoft.com/office/drawing/2014/main" id="{9B1895B0-6E4B-4C97-8A47-1755C3BCD61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4" name="TextBox 2473">
          <a:extLst>
            <a:ext uri="{FF2B5EF4-FFF2-40B4-BE49-F238E27FC236}">
              <a16:creationId xmlns:a16="http://schemas.microsoft.com/office/drawing/2014/main" id="{61D4BF8E-28FC-4E94-BB8C-EC40181F5F0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5" name="TextBox 2474">
          <a:extLst>
            <a:ext uri="{FF2B5EF4-FFF2-40B4-BE49-F238E27FC236}">
              <a16:creationId xmlns:a16="http://schemas.microsoft.com/office/drawing/2014/main" id="{AC12B382-7C4B-41CB-B121-598C3E95EA8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6" name="TextBox 1">
          <a:extLst>
            <a:ext uri="{FF2B5EF4-FFF2-40B4-BE49-F238E27FC236}">
              <a16:creationId xmlns:a16="http://schemas.microsoft.com/office/drawing/2014/main" id="{DAFC056F-E6AB-4102-A3D6-A9AC092E736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7" name="TextBox 1">
          <a:extLst>
            <a:ext uri="{FF2B5EF4-FFF2-40B4-BE49-F238E27FC236}">
              <a16:creationId xmlns:a16="http://schemas.microsoft.com/office/drawing/2014/main" id="{E7903BD4-17D4-4BCD-94FF-2E74E43151D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8" name="TextBox 2477">
          <a:extLst>
            <a:ext uri="{FF2B5EF4-FFF2-40B4-BE49-F238E27FC236}">
              <a16:creationId xmlns:a16="http://schemas.microsoft.com/office/drawing/2014/main" id="{8684DBA0-6D37-4E75-AC65-7B504FD814E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79" name="TextBox 2478">
          <a:extLst>
            <a:ext uri="{FF2B5EF4-FFF2-40B4-BE49-F238E27FC236}">
              <a16:creationId xmlns:a16="http://schemas.microsoft.com/office/drawing/2014/main" id="{E4E94F33-B759-4734-8275-B9C16281DA8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0" name="TextBox 1">
          <a:extLst>
            <a:ext uri="{FF2B5EF4-FFF2-40B4-BE49-F238E27FC236}">
              <a16:creationId xmlns:a16="http://schemas.microsoft.com/office/drawing/2014/main" id="{1EFF1862-7977-45BF-9E40-9604179027B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1" name="TextBox 1">
          <a:extLst>
            <a:ext uri="{FF2B5EF4-FFF2-40B4-BE49-F238E27FC236}">
              <a16:creationId xmlns:a16="http://schemas.microsoft.com/office/drawing/2014/main" id="{3DAF6910-0B11-4DE0-A54A-67BCA8779F3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2" name="TextBox 2481">
          <a:extLst>
            <a:ext uri="{FF2B5EF4-FFF2-40B4-BE49-F238E27FC236}">
              <a16:creationId xmlns:a16="http://schemas.microsoft.com/office/drawing/2014/main" id="{F0BC0A13-4ADC-481A-BADB-7078AB6FC57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3" name="TextBox 2482">
          <a:extLst>
            <a:ext uri="{FF2B5EF4-FFF2-40B4-BE49-F238E27FC236}">
              <a16:creationId xmlns:a16="http://schemas.microsoft.com/office/drawing/2014/main" id="{0B46F4B9-C909-4C0E-A948-00B5DD0E473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4" name="TextBox 1">
          <a:extLst>
            <a:ext uri="{FF2B5EF4-FFF2-40B4-BE49-F238E27FC236}">
              <a16:creationId xmlns:a16="http://schemas.microsoft.com/office/drawing/2014/main" id="{2BDEFF60-C885-482E-AC1E-DBDE79030FF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5" name="TextBox 1">
          <a:extLst>
            <a:ext uri="{FF2B5EF4-FFF2-40B4-BE49-F238E27FC236}">
              <a16:creationId xmlns:a16="http://schemas.microsoft.com/office/drawing/2014/main" id="{2215B501-76E1-4D0B-9211-02A36BE08D6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6" name="TextBox 2485">
          <a:extLst>
            <a:ext uri="{FF2B5EF4-FFF2-40B4-BE49-F238E27FC236}">
              <a16:creationId xmlns:a16="http://schemas.microsoft.com/office/drawing/2014/main" id="{C6F02A10-F8F0-4ABE-AACD-A862A5F15AA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7" name="TextBox 2486">
          <a:extLst>
            <a:ext uri="{FF2B5EF4-FFF2-40B4-BE49-F238E27FC236}">
              <a16:creationId xmlns:a16="http://schemas.microsoft.com/office/drawing/2014/main" id="{9CC1A530-96CC-4C78-97EA-B8F98FE05C8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8" name="TextBox 1">
          <a:extLst>
            <a:ext uri="{FF2B5EF4-FFF2-40B4-BE49-F238E27FC236}">
              <a16:creationId xmlns:a16="http://schemas.microsoft.com/office/drawing/2014/main" id="{C6B1757B-F54A-4FA0-BFEF-30670A5683A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89" name="TextBox 1">
          <a:extLst>
            <a:ext uri="{FF2B5EF4-FFF2-40B4-BE49-F238E27FC236}">
              <a16:creationId xmlns:a16="http://schemas.microsoft.com/office/drawing/2014/main" id="{783D46F2-BBC3-4ABF-8D54-499721E1082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0" name="TextBox 2489">
          <a:extLst>
            <a:ext uri="{FF2B5EF4-FFF2-40B4-BE49-F238E27FC236}">
              <a16:creationId xmlns:a16="http://schemas.microsoft.com/office/drawing/2014/main" id="{265C0718-2EC7-4C13-A247-4565343AD69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1" name="TextBox 2490">
          <a:extLst>
            <a:ext uri="{FF2B5EF4-FFF2-40B4-BE49-F238E27FC236}">
              <a16:creationId xmlns:a16="http://schemas.microsoft.com/office/drawing/2014/main" id="{2E0FEB64-79A2-4896-9B7D-AA3F4B733DC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2" name="TextBox 1">
          <a:extLst>
            <a:ext uri="{FF2B5EF4-FFF2-40B4-BE49-F238E27FC236}">
              <a16:creationId xmlns:a16="http://schemas.microsoft.com/office/drawing/2014/main" id="{3D504556-5169-4EBF-8ABC-5D0FDE1CBBF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3" name="TextBox 1">
          <a:extLst>
            <a:ext uri="{FF2B5EF4-FFF2-40B4-BE49-F238E27FC236}">
              <a16:creationId xmlns:a16="http://schemas.microsoft.com/office/drawing/2014/main" id="{9DBFF368-39C2-4BBC-9CF8-508D43E2C15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4" name="TextBox 2493">
          <a:extLst>
            <a:ext uri="{FF2B5EF4-FFF2-40B4-BE49-F238E27FC236}">
              <a16:creationId xmlns:a16="http://schemas.microsoft.com/office/drawing/2014/main" id="{37D146D8-89A4-4123-96C9-343FF54F7DF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5" name="TextBox 2494">
          <a:extLst>
            <a:ext uri="{FF2B5EF4-FFF2-40B4-BE49-F238E27FC236}">
              <a16:creationId xmlns:a16="http://schemas.microsoft.com/office/drawing/2014/main" id="{0C8BBE37-242A-4587-94EB-68B5CD115C9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6" name="TextBox 1">
          <a:extLst>
            <a:ext uri="{FF2B5EF4-FFF2-40B4-BE49-F238E27FC236}">
              <a16:creationId xmlns:a16="http://schemas.microsoft.com/office/drawing/2014/main" id="{D69F54DA-31C2-45D5-BF2B-68A00EB642B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7" name="TextBox 1">
          <a:extLst>
            <a:ext uri="{FF2B5EF4-FFF2-40B4-BE49-F238E27FC236}">
              <a16:creationId xmlns:a16="http://schemas.microsoft.com/office/drawing/2014/main" id="{F68B88A4-ADEF-4746-BD1B-B8EE8C950A2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8" name="TextBox 2497">
          <a:extLst>
            <a:ext uri="{FF2B5EF4-FFF2-40B4-BE49-F238E27FC236}">
              <a16:creationId xmlns:a16="http://schemas.microsoft.com/office/drawing/2014/main" id="{087BBED0-DDFE-4B4C-849A-6868C2F4EDF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499" name="TextBox 2498">
          <a:extLst>
            <a:ext uri="{FF2B5EF4-FFF2-40B4-BE49-F238E27FC236}">
              <a16:creationId xmlns:a16="http://schemas.microsoft.com/office/drawing/2014/main" id="{186868A0-B757-4BB8-96E7-03DEE79D268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0" name="TextBox 2499">
          <a:extLst>
            <a:ext uri="{FF2B5EF4-FFF2-40B4-BE49-F238E27FC236}">
              <a16:creationId xmlns:a16="http://schemas.microsoft.com/office/drawing/2014/main" id="{B513687A-2566-4533-B791-B69FB1DB9F2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1" name="TextBox 1">
          <a:extLst>
            <a:ext uri="{FF2B5EF4-FFF2-40B4-BE49-F238E27FC236}">
              <a16:creationId xmlns:a16="http://schemas.microsoft.com/office/drawing/2014/main" id="{B5FA3152-6C67-4DD1-BBAD-F2C5309C121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2" name="TextBox 1">
          <a:extLst>
            <a:ext uri="{FF2B5EF4-FFF2-40B4-BE49-F238E27FC236}">
              <a16:creationId xmlns:a16="http://schemas.microsoft.com/office/drawing/2014/main" id="{D0A713C0-2157-4506-B067-C9E8BA39658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3" name="TextBox 2502">
          <a:extLst>
            <a:ext uri="{FF2B5EF4-FFF2-40B4-BE49-F238E27FC236}">
              <a16:creationId xmlns:a16="http://schemas.microsoft.com/office/drawing/2014/main" id="{53E7A172-FF76-4A11-84DB-1696802AC9E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4" name="TextBox 2503">
          <a:extLst>
            <a:ext uri="{FF2B5EF4-FFF2-40B4-BE49-F238E27FC236}">
              <a16:creationId xmlns:a16="http://schemas.microsoft.com/office/drawing/2014/main" id="{CA2558D9-A9AB-495E-A0EF-2E9F49EDB4E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5" name="TextBox 1">
          <a:extLst>
            <a:ext uri="{FF2B5EF4-FFF2-40B4-BE49-F238E27FC236}">
              <a16:creationId xmlns:a16="http://schemas.microsoft.com/office/drawing/2014/main" id="{DA78ADF0-D77D-4A73-93F4-DF0E57B509C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6" name="TextBox 1">
          <a:extLst>
            <a:ext uri="{FF2B5EF4-FFF2-40B4-BE49-F238E27FC236}">
              <a16:creationId xmlns:a16="http://schemas.microsoft.com/office/drawing/2014/main" id="{3582EA6F-4669-44D1-8DEF-23A5ED99032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7" name="TextBox 2506">
          <a:extLst>
            <a:ext uri="{FF2B5EF4-FFF2-40B4-BE49-F238E27FC236}">
              <a16:creationId xmlns:a16="http://schemas.microsoft.com/office/drawing/2014/main" id="{CB3F2AB2-F3ED-4FB8-8FD5-F4EE290172C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8" name="TextBox 2507">
          <a:extLst>
            <a:ext uri="{FF2B5EF4-FFF2-40B4-BE49-F238E27FC236}">
              <a16:creationId xmlns:a16="http://schemas.microsoft.com/office/drawing/2014/main" id="{27420182-CBD6-4E52-9843-4636D94FA10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09" name="TextBox 1">
          <a:extLst>
            <a:ext uri="{FF2B5EF4-FFF2-40B4-BE49-F238E27FC236}">
              <a16:creationId xmlns:a16="http://schemas.microsoft.com/office/drawing/2014/main" id="{F6995B70-0A17-4197-859F-F337CC6389D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0" name="TextBox 1">
          <a:extLst>
            <a:ext uri="{FF2B5EF4-FFF2-40B4-BE49-F238E27FC236}">
              <a16:creationId xmlns:a16="http://schemas.microsoft.com/office/drawing/2014/main" id="{9E30381E-0760-4CC5-9AE0-D4EEEF8032B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1" name="TextBox 2510">
          <a:extLst>
            <a:ext uri="{FF2B5EF4-FFF2-40B4-BE49-F238E27FC236}">
              <a16:creationId xmlns:a16="http://schemas.microsoft.com/office/drawing/2014/main" id="{10E79593-649A-4E92-A052-B16BCEA98BE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2" name="TextBox 2511">
          <a:extLst>
            <a:ext uri="{FF2B5EF4-FFF2-40B4-BE49-F238E27FC236}">
              <a16:creationId xmlns:a16="http://schemas.microsoft.com/office/drawing/2014/main" id="{0D714B23-E80B-4AFA-A1D1-5216E0006F2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3" name="TextBox 1">
          <a:extLst>
            <a:ext uri="{FF2B5EF4-FFF2-40B4-BE49-F238E27FC236}">
              <a16:creationId xmlns:a16="http://schemas.microsoft.com/office/drawing/2014/main" id="{88F9C5E2-7B95-4FD5-977A-13F7E05E230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4" name="TextBox 1">
          <a:extLst>
            <a:ext uri="{FF2B5EF4-FFF2-40B4-BE49-F238E27FC236}">
              <a16:creationId xmlns:a16="http://schemas.microsoft.com/office/drawing/2014/main" id="{37A7C5C1-92E4-4D4D-8D3A-2AD33842F25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5" name="TextBox 2514">
          <a:extLst>
            <a:ext uri="{FF2B5EF4-FFF2-40B4-BE49-F238E27FC236}">
              <a16:creationId xmlns:a16="http://schemas.microsoft.com/office/drawing/2014/main" id="{A0B5A8DC-DE58-4569-8DCD-DE0B5A6D474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6" name="TextBox 2515">
          <a:extLst>
            <a:ext uri="{FF2B5EF4-FFF2-40B4-BE49-F238E27FC236}">
              <a16:creationId xmlns:a16="http://schemas.microsoft.com/office/drawing/2014/main" id="{7635193C-2012-4B67-97C4-06006B9C250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7" name="TextBox 1">
          <a:extLst>
            <a:ext uri="{FF2B5EF4-FFF2-40B4-BE49-F238E27FC236}">
              <a16:creationId xmlns:a16="http://schemas.microsoft.com/office/drawing/2014/main" id="{C720D4EC-37D6-483A-94FF-47329E22EDB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8" name="TextBox 1">
          <a:extLst>
            <a:ext uri="{FF2B5EF4-FFF2-40B4-BE49-F238E27FC236}">
              <a16:creationId xmlns:a16="http://schemas.microsoft.com/office/drawing/2014/main" id="{75BFBC70-7937-4A42-9735-8852F6FFCAC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19" name="TextBox 2518">
          <a:extLst>
            <a:ext uri="{FF2B5EF4-FFF2-40B4-BE49-F238E27FC236}">
              <a16:creationId xmlns:a16="http://schemas.microsoft.com/office/drawing/2014/main" id="{33AC24C3-42EB-4738-B1CC-1E7B30F79F4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0" name="TextBox 2519">
          <a:extLst>
            <a:ext uri="{FF2B5EF4-FFF2-40B4-BE49-F238E27FC236}">
              <a16:creationId xmlns:a16="http://schemas.microsoft.com/office/drawing/2014/main" id="{74EF24FB-AE04-432A-B5FB-0FE5507A35F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1" name="TextBox 1">
          <a:extLst>
            <a:ext uri="{FF2B5EF4-FFF2-40B4-BE49-F238E27FC236}">
              <a16:creationId xmlns:a16="http://schemas.microsoft.com/office/drawing/2014/main" id="{5D96DE40-004D-41BF-8688-C11B7407343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2" name="TextBox 1">
          <a:extLst>
            <a:ext uri="{FF2B5EF4-FFF2-40B4-BE49-F238E27FC236}">
              <a16:creationId xmlns:a16="http://schemas.microsoft.com/office/drawing/2014/main" id="{D9DD99F0-4420-4581-9B1C-0C0B013357C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3" name="TextBox 2522">
          <a:extLst>
            <a:ext uri="{FF2B5EF4-FFF2-40B4-BE49-F238E27FC236}">
              <a16:creationId xmlns:a16="http://schemas.microsoft.com/office/drawing/2014/main" id="{0FF52E91-0B05-4D69-963F-00EDFB782B5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4" name="TextBox 2523">
          <a:extLst>
            <a:ext uri="{FF2B5EF4-FFF2-40B4-BE49-F238E27FC236}">
              <a16:creationId xmlns:a16="http://schemas.microsoft.com/office/drawing/2014/main" id="{8116FD7C-5D53-4ECF-8EE7-03ACB1A2E17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5" name="TextBox 1">
          <a:extLst>
            <a:ext uri="{FF2B5EF4-FFF2-40B4-BE49-F238E27FC236}">
              <a16:creationId xmlns:a16="http://schemas.microsoft.com/office/drawing/2014/main" id="{A8B94AEF-B28F-4B42-8F73-1306DE75101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6" name="TextBox 1">
          <a:extLst>
            <a:ext uri="{FF2B5EF4-FFF2-40B4-BE49-F238E27FC236}">
              <a16:creationId xmlns:a16="http://schemas.microsoft.com/office/drawing/2014/main" id="{E729AC4A-CECF-4A61-951B-E330C3C367F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7" name="TextBox 2526">
          <a:extLst>
            <a:ext uri="{FF2B5EF4-FFF2-40B4-BE49-F238E27FC236}">
              <a16:creationId xmlns:a16="http://schemas.microsoft.com/office/drawing/2014/main" id="{1605FED3-4B0E-4906-A3EC-8AA71C65102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8" name="TextBox 2527">
          <a:extLst>
            <a:ext uri="{FF2B5EF4-FFF2-40B4-BE49-F238E27FC236}">
              <a16:creationId xmlns:a16="http://schemas.microsoft.com/office/drawing/2014/main" id="{FCA33296-065E-4A35-A858-D5F68DBA810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29" name="TextBox 1">
          <a:extLst>
            <a:ext uri="{FF2B5EF4-FFF2-40B4-BE49-F238E27FC236}">
              <a16:creationId xmlns:a16="http://schemas.microsoft.com/office/drawing/2014/main" id="{47C24B84-D5D6-4090-9033-D2322858231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0" name="TextBox 1">
          <a:extLst>
            <a:ext uri="{FF2B5EF4-FFF2-40B4-BE49-F238E27FC236}">
              <a16:creationId xmlns:a16="http://schemas.microsoft.com/office/drawing/2014/main" id="{CDE54D72-66C0-42D3-8C27-4014E224BFF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1" name="TextBox 2530">
          <a:extLst>
            <a:ext uri="{FF2B5EF4-FFF2-40B4-BE49-F238E27FC236}">
              <a16:creationId xmlns:a16="http://schemas.microsoft.com/office/drawing/2014/main" id="{293B9D69-D759-47F2-8654-E3B792CC7E3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2" name="TextBox 2531">
          <a:extLst>
            <a:ext uri="{FF2B5EF4-FFF2-40B4-BE49-F238E27FC236}">
              <a16:creationId xmlns:a16="http://schemas.microsoft.com/office/drawing/2014/main" id="{CC45E56B-E93C-4E11-B6A0-36B74965757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3" name="TextBox 1">
          <a:extLst>
            <a:ext uri="{FF2B5EF4-FFF2-40B4-BE49-F238E27FC236}">
              <a16:creationId xmlns:a16="http://schemas.microsoft.com/office/drawing/2014/main" id="{50C75938-2DCA-4875-AF15-CA60ECA7EAD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4" name="TextBox 1">
          <a:extLst>
            <a:ext uri="{FF2B5EF4-FFF2-40B4-BE49-F238E27FC236}">
              <a16:creationId xmlns:a16="http://schemas.microsoft.com/office/drawing/2014/main" id="{DC2F848C-B972-4C51-8B8A-979CAA5E21F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5" name="TextBox 2534">
          <a:extLst>
            <a:ext uri="{FF2B5EF4-FFF2-40B4-BE49-F238E27FC236}">
              <a16:creationId xmlns:a16="http://schemas.microsoft.com/office/drawing/2014/main" id="{F26D9156-831A-4DC3-9D04-BFDD297CB97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6" name="TextBox 1">
          <a:extLst>
            <a:ext uri="{FF2B5EF4-FFF2-40B4-BE49-F238E27FC236}">
              <a16:creationId xmlns:a16="http://schemas.microsoft.com/office/drawing/2014/main" id="{801CE41B-1D22-4D7A-B671-8839299096C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7" name="TextBox 1">
          <a:extLst>
            <a:ext uri="{FF2B5EF4-FFF2-40B4-BE49-F238E27FC236}">
              <a16:creationId xmlns:a16="http://schemas.microsoft.com/office/drawing/2014/main" id="{08D5C308-2434-4181-94C1-7AF284EFDB2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8" name="TextBox 2537">
          <a:extLst>
            <a:ext uri="{FF2B5EF4-FFF2-40B4-BE49-F238E27FC236}">
              <a16:creationId xmlns:a16="http://schemas.microsoft.com/office/drawing/2014/main" id="{91CF289C-D4AC-42A3-B187-76005B69828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39" name="TextBox 1">
          <a:extLst>
            <a:ext uri="{FF2B5EF4-FFF2-40B4-BE49-F238E27FC236}">
              <a16:creationId xmlns:a16="http://schemas.microsoft.com/office/drawing/2014/main" id="{72794DB5-BEBF-430E-AB60-948B779A014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0" name="TextBox 2539">
          <a:extLst>
            <a:ext uri="{FF2B5EF4-FFF2-40B4-BE49-F238E27FC236}">
              <a16:creationId xmlns:a16="http://schemas.microsoft.com/office/drawing/2014/main" id="{FEF291FF-34E0-4801-A53D-C8D1A38145F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1" name="TextBox 1">
          <a:extLst>
            <a:ext uri="{FF2B5EF4-FFF2-40B4-BE49-F238E27FC236}">
              <a16:creationId xmlns:a16="http://schemas.microsoft.com/office/drawing/2014/main" id="{91C87DAD-CA26-469F-986E-C745ACC1C25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2" name="TextBox 1">
          <a:extLst>
            <a:ext uri="{FF2B5EF4-FFF2-40B4-BE49-F238E27FC236}">
              <a16:creationId xmlns:a16="http://schemas.microsoft.com/office/drawing/2014/main" id="{D31F51A5-5CB4-4D76-B037-90AC6381C73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3" name="TextBox 2542">
          <a:extLst>
            <a:ext uri="{FF2B5EF4-FFF2-40B4-BE49-F238E27FC236}">
              <a16:creationId xmlns:a16="http://schemas.microsoft.com/office/drawing/2014/main" id="{5BA78FE4-7290-46CD-87B8-9F82B362E26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4" name="TextBox 2543">
          <a:extLst>
            <a:ext uri="{FF2B5EF4-FFF2-40B4-BE49-F238E27FC236}">
              <a16:creationId xmlns:a16="http://schemas.microsoft.com/office/drawing/2014/main" id="{C551BA80-390A-42DB-9EC9-4F3A3BE0773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5" name="TextBox 1">
          <a:extLst>
            <a:ext uri="{FF2B5EF4-FFF2-40B4-BE49-F238E27FC236}">
              <a16:creationId xmlns:a16="http://schemas.microsoft.com/office/drawing/2014/main" id="{8560830A-CAF8-483B-A8DC-8C34A18B641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6" name="TextBox 1">
          <a:extLst>
            <a:ext uri="{FF2B5EF4-FFF2-40B4-BE49-F238E27FC236}">
              <a16:creationId xmlns:a16="http://schemas.microsoft.com/office/drawing/2014/main" id="{CB903197-5BD8-4BFF-A406-594F1B61D08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7" name="TextBox 2546">
          <a:extLst>
            <a:ext uri="{FF2B5EF4-FFF2-40B4-BE49-F238E27FC236}">
              <a16:creationId xmlns:a16="http://schemas.microsoft.com/office/drawing/2014/main" id="{7D080EAD-C8F9-4A07-9A7F-B09F2A5794D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8" name="TextBox 2547">
          <a:extLst>
            <a:ext uri="{FF2B5EF4-FFF2-40B4-BE49-F238E27FC236}">
              <a16:creationId xmlns:a16="http://schemas.microsoft.com/office/drawing/2014/main" id="{1FBE9602-22BC-4DFA-A76D-EDE951C7935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49" name="TextBox 2548">
          <a:extLst>
            <a:ext uri="{FF2B5EF4-FFF2-40B4-BE49-F238E27FC236}">
              <a16:creationId xmlns:a16="http://schemas.microsoft.com/office/drawing/2014/main" id="{EBEF3A8A-5C98-4A1C-85F6-1ABA24540F1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0" name="TextBox 1">
          <a:extLst>
            <a:ext uri="{FF2B5EF4-FFF2-40B4-BE49-F238E27FC236}">
              <a16:creationId xmlns:a16="http://schemas.microsoft.com/office/drawing/2014/main" id="{2E2E65D5-080E-4693-A822-EA6A5328830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1" name="TextBox 1">
          <a:extLst>
            <a:ext uri="{FF2B5EF4-FFF2-40B4-BE49-F238E27FC236}">
              <a16:creationId xmlns:a16="http://schemas.microsoft.com/office/drawing/2014/main" id="{BB0763AB-4483-4C2E-BD36-BA416888850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2" name="TextBox 2551">
          <a:extLst>
            <a:ext uri="{FF2B5EF4-FFF2-40B4-BE49-F238E27FC236}">
              <a16:creationId xmlns:a16="http://schemas.microsoft.com/office/drawing/2014/main" id="{FCDDF876-B632-43EE-917A-2F1A292A52A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3" name="TextBox 2552">
          <a:extLst>
            <a:ext uri="{FF2B5EF4-FFF2-40B4-BE49-F238E27FC236}">
              <a16:creationId xmlns:a16="http://schemas.microsoft.com/office/drawing/2014/main" id="{481244FD-365F-4DB4-9DEB-8758C825E79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4" name="TextBox 1">
          <a:extLst>
            <a:ext uri="{FF2B5EF4-FFF2-40B4-BE49-F238E27FC236}">
              <a16:creationId xmlns:a16="http://schemas.microsoft.com/office/drawing/2014/main" id="{36E4FB51-8BED-452A-923B-146B95475D0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5" name="TextBox 1">
          <a:extLst>
            <a:ext uri="{FF2B5EF4-FFF2-40B4-BE49-F238E27FC236}">
              <a16:creationId xmlns:a16="http://schemas.microsoft.com/office/drawing/2014/main" id="{74709C80-4FDE-4B06-AB1D-6C84446F4FC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6" name="TextBox 2555">
          <a:extLst>
            <a:ext uri="{FF2B5EF4-FFF2-40B4-BE49-F238E27FC236}">
              <a16:creationId xmlns:a16="http://schemas.microsoft.com/office/drawing/2014/main" id="{BA87A3D3-F21C-43A8-8F1C-B006F7627DE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7" name="TextBox 2556">
          <a:extLst>
            <a:ext uri="{FF2B5EF4-FFF2-40B4-BE49-F238E27FC236}">
              <a16:creationId xmlns:a16="http://schemas.microsoft.com/office/drawing/2014/main" id="{8E4DB91E-C19B-496F-A28C-D521927D08A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8" name="TextBox 1">
          <a:extLst>
            <a:ext uri="{FF2B5EF4-FFF2-40B4-BE49-F238E27FC236}">
              <a16:creationId xmlns:a16="http://schemas.microsoft.com/office/drawing/2014/main" id="{91CA5EE1-6572-4983-9830-47A12427D42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59" name="TextBox 1">
          <a:extLst>
            <a:ext uri="{FF2B5EF4-FFF2-40B4-BE49-F238E27FC236}">
              <a16:creationId xmlns:a16="http://schemas.microsoft.com/office/drawing/2014/main" id="{054D4290-28F7-45F3-98BF-2F2431F9037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0" name="TextBox 2559">
          <a:extLst>
            <a:ext uri="{FF2B5EF4-FFF2-40B4-BE49-F238E27FC236}">
              <a16:creationId xmlns:a16="http://schemas.microsoft.com/office/drawing/2014/main" id="{32466EEA-8C46-4EFB-B5D3-750E00272E9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1" name="TextBox 2560">
          <a:extLst>
            <a:ext uri="{FF2B5EF4-FFF2-40B4-BE49-F238E27FC236}">
              <a16:creationId xmlns:a16="http://schemas.microsoft.com/office/drawing/2014/main" id="{FCE100FB-729F-4594-8184-710B9C19CEA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2" name="TextBox 1">
          <a:extLst>
            <a:ext uri="{FF2B5EF4-FFF2-40B4-BE49-F238E27FC236}">
              <a16:creationId xmlns:a16="http://schemas.microsoft.com/office/drawing/2014/main" id="{2C7C202E-DF40-4FA7-9353-06EC70B1857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3" name="TextBox 1">
          <a:extLst>
            <a:ext uri="{FF2B5EF4-FFF2-40B4-BE49-F238E27FC236}">
              <a16:creationId xmlns:a16="http://schemas.microsoft.com/office/drawing/2014/main" id="{623AE591-08D2-425C-A88E-4BB3F2741CA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4" name="TextBox 2563">
          <a:extLst>
            <a:ext uri="{FF2B5EF4-FFF2-40B4-BE49-F238E27FC236}">
              <a16:creationId xmlns:a16="http://schemas.microsoft.com/office/drawing/2014/main" id="{B7FDE180-82C7-4C19-B90E-5B967450935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5" name="TextBox 2564">
          <a:extLst>
            <a:ext uri="{FF2B5EF4-FFF2-40B4-BE49-F238E27FC236}">
              <a16:creationId xmlns:a16="http://schemas.microsoft.com/office/drawing/2014/main" id="{590065EE-CDAD-45C5-90DC-BA8FEDE9DFF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6" name="TextBox 1">
          <a:extLst>
            <a:ext uri="{FF2B5EF4-FFF2-40B4-BE49-F238E27FC236}">
              <a16:creationId xmlns:a16="http://schemas.microsoft.com/office/drawing/2014/main" id="{C288BDF2-753A-4EF0-8730-2C2A1667C99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7" name="TextBox 1">
          <a:extLst>
            <a:ext uri="{FF2B5EF4-FFF2-40B4-BE49-F238E27FC236}">
              <a16:creationId xmlns:a16="http://schemas.microsoft.com/office/drawing/2014/main" id="{709BABD1-6606-44B8-83B6-290142AFF73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8" name="TextBox 2567">
          <a:extLst>
            <a:ext uri="{FF2B5EF4-FFF2-40B4-BE49-F238E27FC236}">
              <a16:creationId xmlns:a16="http://schemas.microsoft.com/office/drawing/2014/main" id="{87D29C11-6EC7-4DF0-8E13-2923937C2AC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69" name="TextBox 2568">
          <a:extLst>
            <a:ext uri="{FF2B5EF4-FFF2-40B4-BE49-F238E27FC236}">
              <a16:creationId xmlns:a16="http://schemas.microsoft.com/office/drawing/2014/main" id="{09B48B74-75B0-40F8-9B82-4505648C3E8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0" name="TextBox 1">
          <a:extLst>
            <a:ext uri="{FF2B5EF4-FFF2-40B4-BE49-F238E27FC236}">
              <a16:creationId xmlns:a16="http://schemas.microsoft.com/office/drawing/2014/main" id="{27B5F23D-0311-40A0-B270-898C7012007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1" name="TextBox 1">
          <a:extLst>
            <a:ext uri="{FF2B5EF4-FFF2-40B4-BE49-F238E27FC236}">
              <a16:creationId xmlns:a16="http://schemas.microsoft.com/office/drawing/2014/main" id="{E9CF33A2-A3A4-42AC-B124-7A4358BE443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2" name="TextBox 2571">
          <a:extLst>
            <a:ext uri="{FF2B5EF4-FFF2-40B4-BE49-F238E27FC236}">
              <a16:creationId xmlns:a16="http://schemas.microsoft.com/office/drawing/2014/main" id="{0B83B7CE-AE90-43B7-80EC-94A50171D4E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3" name="TextBox 2572">
          <a:extLst>
            <a:ext uri="{FF2B5EF4-FFF2-40B4-BE49-F238E27FC236}">
              <a16:creationId xmlns:a16="http://schemas.microsoft.com/office/drawing/2014/main" id="{A5CBE8F8-99ED-4881-B9CA-8A2683FCF0C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4" name="TextBox 1">
          <a:extLst>
            <a:ext uri="{FF2B5EF4-FFF2-40B4-BE49-F238E27FC236}">
              <a16:creationId xmlns:a16="http://schemas.microsoft.com/office/drawing/2014/main" id="{1F7127B5-D6D3-4AF4-A509-1562328AA23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5" name="TextBox 1">
          <a:extLst>
            <a:ext uri="{FF2B5EF4-FFF2-40B4-BE49-F238E27FC236}">
              <a16:creationId xmlns:a16="http://schemas.microsoft.com/office/drawing/2014/main" id="{65B19255-A6B7-4029-AE48-F97221C80E1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6" name="TextBox 2575">
          <a:extLst>
            <a:ext uri="{FF2B5EF4-FFF2-40B4-BE49-F238E27FC236}">
              <a16:creationId xmlns:a16="http://schemas.microsoft.com/office/drawing/2014/main" id="{8F650379-8CB6-4A54-8496-95E44176263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7" name="TextBox 2576">
          <a:extLst>
            <a:ext uri="{FF2B5EF4-FFF2-40B4-BE49-F238E27FC236}">
              <a16:creationId xmlns:a16="http://schemas.microsoft.com/office/drawing/2014/main" id="{FEB53AA9-B439-4DFF-A4C8-E9EB07C5021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8" name="TextBox 1">
          <a:extLst>
            <a:ext uri="{FF2B5EF4-FFF2-40B4-BE49-F238E27FC236}">
              <a16:creationId xmlns:a16="http://schemas.microsoft.com/office/drawing/2014/main" id="{2F5C051F-F382-48AA-907C-7F930FED078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79" name="TextBox 1">
          <a:extLst>
            <a:ext uri="{FF2B5EF4-FFF2-40B4-BE49-F238E27FC236}">
              <a16:creationId xmlns:a16="http://schemas.microsoft.com/office/drawing/2014/main" id="{B823546E-FC03-49E9-AC79-A5B9E02134A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0" name="TextBox 2579">
          <a:extLst>
            <a:ext uri="{FF2B5EF4-FFF2-40B4-BE49-F238E27FC236}">
              <a16:creationId xmlns:a16="http://schemas.microsoft.com/office/drawing/2014/main" id="{4993391C-976D-49BB-B062-9A77EE3C31B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1" name="TextBox 2580">
          <a:extLst>
            <a:ext uri="{FF2B5EF4-FFF2-40B4-BE49-F238E27FC236}">
              <a16:creationId xmlns:a16="http://schemas.microsoft.com/office/drawing/2014/main" id="{80572B77-B459-4186-9B0C-E8E2B3180F8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2" name="TextBox 1">
          <a:extLst>
            <a:ext uri="{FF2B5EF4-FFF2-40B4-BE49-F238E27FC236}">
              <a16:creationId xmlns:a16="http://schemas.microsoft.com/office/drawing/2014/main" id="{B49659BA-C57F-40D3-9824-0BC8689EBF4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3" name="TextBox 1">
          <a:extLst>
            <a:ext uri="{FF2B5EF4-FFF2-40B4-BE49-F238E27FC236}">
              <a16:creationId xmlns:a16="http://schemas.microsoft.com/office/drawing/2014/main" id="{E2BBAF48-5A24-434E-A9BB-7B69B017EE6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4" name="TextBox 2583">
          <a:extLst>
            <a:ext uri="{FF2B5EF4-FFF2-40B4-BE49-F238E27FC236}">
              <a16:creationId xmlns:a16="http://schemas.microsoft.com/office/drawing/2014/main" id="{C6D5FCED-0FF8-409B-8F98-B7589E6857E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5" name="TextBox 2584">
          <a:extLst>
            <a:ext uri="{FF2B5EF4-FFF2-40B4-BE49-F238E27FC236}">
              <a16:creationId xmlns:a16="http://schemas.microsoft.com/office/drawing/2014/main" id="{7C0C79E2-BE6A-4DC3-995B-94E83A91DDB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6" name="TextBox 2585">
          <a:extLst>
            <a:ext uri="{FF2B5EF4-FFF2-40B4-BE49-F238E27FC236}">
              <a16:creationId xmlns:a16="http://schemas.microsoft.com/office/drawing/2014/main" id="{7D291F27-0576-40D7-A10F-843D8CF0BB2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7" name="TextBox 1">
          <a:extLst>
            <a:ext uri="{FF2B5EF4-FFF2-40B4-BE49-F238E27FC236}">
              <a16:creationId xmlns:a16="http://schemas.microsoft.com/office/drawing/2014/main" id="{247750A2-2C99-4880-A4E6-17C4C243ABA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8" name="TextBox 1">
          <a:extLst>
            <a:ext uri="{FF2B5EF4-FFF2-40B4-BE49-F238E27FC236}">
              <a16:creationId xmlns:a16="http://schemas.microsoft.com/office/drawing/2014/main" id="{EA486B05-0F2F-45D2-97C2-7D1686F5816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89" name="TextBox 2588">
          <a:extLst>
            <a:ext uri="{FF2B5EF4-FFF2-40B4-BE49-F238E27FC236}">
              <a16:creationId xmlns:a16="http://schemas.microsoft.com/office/drawing/2014/main" id="{29102B93-AB33-4F3A-85A5-E68E1CBA009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0" name="TextBox 2589">
          <a:extLst>
            <a:ext uri="{FF2B5EF4-FFF2-40B4-BE49-F238E27FC236}">
              <a16:creationId xmlns:a16="http://schemas.microsoft.com/office/drawing/2014/main" id="{C6FE15BC-BC18-4113-9659-51EFBF37BA9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1" name="TextBox 1">
          <a:extLst>
            <a:ext uri="{FF2B5EF4-FFF2-40B4-BE49-F238E27FC236}">
              <a16:creationId xmlns:a16="http://schemas.microsoft.com/office/drawing/2014/main" id="{93198B04-0DDB-4EFD-A93E-7CA50C65251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2" name="TextBox 1">
          <a:extLst>
            <a:ext uri="{FF2B5EF4-FFF2-40B4-BE49-F238E27FC236}">
              <a16:creationId xmlns:a16="http://schemas.microsoft.com/office/drawing/2014/main" id="{48A211DF-42FC-4A2F-8132-848CD2D5613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3" name="TextBox 2592">
          <a:extLst>
            <a:ext uri="{FF2B5EF4-FFF2-40B4-BE49-F238E27FC236}">
              <a16:creationId xmlns:a16="http://schemas.microsoft.com/office/drawing/2014/main" id="{74CDDEB7-8D7A-48C7-BD6E-93DEC695228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4" name="TextBox 2593">
          <a:extLst>
            <a:ext uri="{FF2B5EF4-FFF2-40B4-BE49-F238E27FC236}">
              <a16:creationId xmlns:a16="http://schemas.microsoft.com/office/drawing/2014/main" id="{1426C271-87C7-42ED-8E80-93122868FC0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5" name="TextBox 1">
          <a:extLst>
            <a:ext uri="{FF2B5EF4-FFF2-40B4-BE49-F238E27FC236}">
              <a16:creationId xmlns:a16="http://schemas.microsoft.com/office/drawing/2014/main" id="{65B0C1D4-B43B-4EE9-954F-403179B9DA7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6" name="TextBox 1">
          <a:extLst>
            <a:ext uri="{FF2B5EF4-FFF2-40B4-BE49-F238E27FC236}">
              <a16:creationId xmlns:a16="http://schemas.microsoft.com/office/drawing/2014/main" id="{1614D54B-7C9F-46A1-B7CF-4CB6D743A68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7" name="TextBox 2596">
          <a:extLst>
            <a:ext uri="{FF2B5EF4-FFF2-40B4-BE49-F238E27FC236}">
              <a16:creationId xmlns:a16="http://schemas.microsoft.com/office/drawing/2014/main" id="{D255000C-AD81-4900-9870-2F7CC382F3C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8" name="TextBox 2597">
          <a:extLst>
            <a:ext uri="{FF2B5EF4-FFF2-40B4-BE49-F238E27FC236}">
              <a16:creationId xmlns:a16="http://schemas.microsoft.com/office/drawing/2014/main" id="{12699B71-E786-44E1-BF92-93DD242F685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599" name="TextBox 1">
          <a:extLst>
            <a:ext uri="{FF2B5EF4-FFF2-40B4-BE49-F238E27FC236}">
              <a16:creationId xmlns:a16="http://schemas.microsoft.com/office/drawing/2014/main" id="{E114ACF1-C396-422E-95C9-21B5E328352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0" name="TextBox 1">
          <a:extLst>
            <a:ext uri="{FF2B5EF4-FFF2-40B4-BE49-F238E27FC236}">
              <a16:creationId xmlns:a16="http://schemas.microsoft.com/office/drawing/2014/main" id="{0291CF22-F399-4DC2-B8CF-8A0A1956CA4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1" name="TextBox 2600">
          <a:extLst>
            <a:ext uri="{FF2B5EF4-FFF2-40B4-BE49-F238E27FC236}">
              <a16:creationId xmlns:a16="http://schemas.microsoft.com/office/drawing/2014/main" id="{27F1411F-F1CD-4439-8F8B-43EDFF0AD8D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2" name="TextBox 2601">
          <a:extLst>
            <a:ext uri="{FF2B5EF4-FFF2-40B4-BE49-F238E27FC236}">
              <a16:creationId xmlns:a16="http://schemas.microsoft.com/office/drawing/2014/main" id="{2268F92C-3DC4-41A1-9FDF-0B43FF3A4AE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3" name="TextBox 1">
          <a:extLst>
            <a:ext uri="{FF2B5EF4-FFF2-40B4-BE49-F238E27FC236}">
              <a16:creationId xmlns:a16="http://schemas.microsoft.com/office/drawing/2014/main" id="{2CC58FED-4E88-4546-BAB5-66274832E69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4" name="TextBox 1">
          <a:extLst>
            <a:ext uri="{FF2B5EF4-FFF2-40B4-BE49-F238E27FC236}">
              <a16:creationId xmlns:a16="http://schemas.microsoft.com/office/drawing/2014/main" id="{1A078698-96F9-4A19-A42D-F5F458E4863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5" name="TextBox 2604">
          <a:extLst>
            <a:ext uri="{FF2B5EF4-FFF2-40B4-BE49-F238E27FC236}">
              <a16:creationId xmlns:a16="http://schemas.microsoft.com/office/drawing/2014/main" id="{30E2A373-D3BF-493B-A14A-9061E116276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6" name="TextBox 2605">
          <a:extLst>
            <a:ext uri="{FF2B5EF4-FFF2-40B4-BE49-F238E27FC236}">
              <a16:creationId xmlns:a16="http://schemas.microsoft.com/office/drawing/2014/main" id="{DE5B9FA5-E393-47C8-948A-EE46E119E33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7" name="TextBox 1">
          <a:extLst>
            <a:ext uri="{FF2B5EF4-FFF2-40B4-BE49-F238E27FC236}">
              <a16:creationId xmlns:a16="http://schemas.microsoft.com/office/drawing/2014/main" id="{5F3D361B-307A-44C8-AE92-4A47A4E2C13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8" name="TextBox 1">
          <a:extLst>
            <a:ext uri="{FF2B5EF4-FFF2-40B4-BE49-F238E27FC236}">
              <a16:creationId xmlns:a16="http://schemas.microsoft.com/office/drawing/2014/main" id="{3E24E34A-5D4F-4F08-86B3-395FBE427FC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09" name="TextBox 2608">
          <a:extLst>
            <a:ext uri="{FF2B5EF4-FFF2-40B4-BE49-F238E27FC236}">
              <a16:creationId xmlns:a16="http://schemas.microsoft.com/office/drawing/2014/main" id="{1EFB76EF-5FB5-4B3E-BEB5-308128B6D46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0" name="TextBox 2609">
          <a:extLst>
            <a:ext uri="{FF2B5EF4-FFF2-40B4-BE49-F238E27FC236}">
              <a16:creationId xmlns:a16="http://schemas.microsoft.com/office/drawing/2014/main" id="{1ED82133-4936-472F-B04C-EB5DFC42607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1" name="TextBox 1">
          <a:extLst>
            <a:ext uri="{FF2B5EF4-FFF2-40B4-BE49-F238E27FC236}">
              <a16:creationId xmlns:a16="http://schemas.microsoft.com/office/drawing/2014/main" id="{F6ED0525-D8B9-4A5F-B5ED-A5FAEF24035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2" name="TextBox 1">
          <a:extLst>
            <a:ext uri="{FF2B5EF4-FFF2-40B4-BE49-F238E27FC236}">
              <a16:creationId xmlns:a16="http://schemas.microsoft.com/office/drawing/2014/main" id="{6119DA4B-D68E-47B2-9E8D-470F6B2C4F5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3" name="TextBox 2612">
          <a:extLst>
            <a:ext uri="{FF2B5EF4-FFF2-40B4-BE49-F238E27FC236}">
              <a16:creationId xmlns:a16="http://schemas.microsoft.com/office/drawing/2014/main" id="{072E4CE4-AD0B-4E6D-99A6-FEA44FB6D2A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4" name="TextBox 2613">
          <a:extLst>
            <a:ext uri="{FF2B5EF4-FFF2-40B4-BE49-F238E27FC236}">
              <a16:creationId xmlns:a16="http://schemas.microsoft.com/office/drawing/2014/main" id="{D3B92F25-6246-4E6E-B9E5-BB3E1D000A7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5" name="TextBox 1">
          <a:extLst>
            <a:ext uri="{FF2B5EF4-FFF2-40B4-BE49-F238E27FC236}">
              <a16:creationId xmlns:a16="http://schemas.microsoft.com/office/drawing/2014/main" id="{676DF7FB-F33B-4101-9AFD-1CC6960D5B5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6" name="TextBox 1">
          <a:extLst>
            <a:ext uri="{FF2B5EF4-FFF2-40B4-BE49-F238E27FC236}">
              <a16:creationId xmlns:a16="http://schemas.microsoft.com/office/drawing/2014/main" id="{0254244E-9D84-4291-95C8-D0AA22F7BFE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7" name="TextBox 2616">
          <a:extLst>
            <a:ext uri="{FF2B5EF4-FFF2-40B4-BE49-F238E27FC236}">
              <a16:creationId xmlns:a16="http://schemas.microsoft.com/office/drawing/2014/main" id="{8B632011-2B68-4031-B98F-1BBDC961EAD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8" name="TextBox 2617">
          <a:extLst>
            <a:ext uri="{FF2B5EF4-FFF2-40B4-BE49-F238E27FC236}">
              <a16:creationId xmlns:a16="http://schemas.microsoft.com/office/drawing/2014/main" id="{7372585C-92FC-40B9-8C1D-B3AF2210E71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19" name="TextBox 1">
          <a:extLst>
            <a:ext uri="{FF2B5EF4-FFF2-40B4-BE49-F238E27FC236}">
              <a16:creationId xmlns:a16="http://schemas.microsoft.com/office/drawing/2014/main" id="{89E369A5-7BC9-4CF2-8803-C4F5BA5A67E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0" name="TextBox 1">
          <a:extLst>
            <a:ext uri="{FF2B5EF4-FFF2-40B4-BE49-F238E27FC236}">
              <a16:creationId xmlns:a16="http://schemas.microsoft.com/office/drawing/2014/main" id="{7C93A823-787D-4D93-8303-9426D78A541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1" name="TextBox 2620">
          <a:extLst>
            <a:ext uri="{FF2B5EF4-FFF2-40B4-BE49-F238E27FC236}">
              <a16:creationId xmlns:a16="http://schemas.microsoft.com/office/drawing/2014/main" id="{68CFA6BE-F976-49AD-A3B3-CF97E2B3C30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2" name="TextBox 2621">
          <a:extLst>
            <a:ext uri="{FF2B5EF4-FFF2-40B4-BE49-F238E27FC236}">
              <a16:creationId xmlns:a16="http://schemas.microsoft.com/office/drawing/2014/main" id="{A67B6324-D196-4533-86DB-64F8D94BE10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3" name="TextBox 1">
          <a:extLst>
            <a:ext uri="{FF2B5EF4-FFF2-40B4-BE49-F238E27FC236}">
              <a16:creationId xmlns:a16="http://schemas.microsoft.com/office/drawing/2014/main" id="{1A33A79A-C416-4396-9533-AD86FDAA1F4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4" name="TextBox 1">
          <a:extLst>
            <a:ext uri="{FF2B5EF4-FFF2-40B4-BE49-F238E27FC236}">
              <a16:creationId xmlns:a16="http://schemas.microsoft.com/office/drawing/2014/main" id="{98628657-C0A5-4235-9294-63E6AE420B6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5" name="TextBox 2624">
          <a:extLst>
            <a:ext uri="{FF2B5EF4-FFF2-40B4-BE49-F238E27FC236}">
              <a16:creationId xmlns:a16="http://schemas.microsoft.com/office/drawing/2014/main" id="{0BC26126-E45B-4EF1-9774-2024E8FA188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6" name="TextBox 2625">
          <a:extLst>
            <a:ext uri="{FF2B5EF4-FFF2-40B4-BE49-F238E27FC236}">
              <a16:creationId xmlns:a16="http://schemas.microsoft.com/office/drawing/2014/main" id="{E37E4658-DA5E-44C0-A342-1D6F3C480B7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7" name="TextBox 1">
          <a:extLst>
            <a:ext uri="{FF2B5EF4-FFF2-40B4-BE49-F238E27FC236}">
              <a16:creationId xmlns:a16="http://schemas.microsoft.com/office/drawing/2014/main" id="{EA78CEDE-49E0-4329-8393-90FF03F10E7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8" name="TextBox 1">
          <a:extLst>
            <a:ext uri="{FF2B5EF4-FFF2-40B4-BE49-F238E27FC236}">
              <a16:creationId xmlns:a16="http://schemas.microsoft.com/office/drawing/2014/main" id="{A38F8385-E4D1-4177-98E3-C99D3E1DC85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29" name="TextBox 2628">
          <a:extLst>
            <a:ext uri="{FF2B5EF4-FFF2-40B4-BE49-F238E27FC236}">
              <a16:creationId xmlns:a16="http://schemas.microsoft.com/office/drawing/2014/main" id="{D7E996D2-DE8A-4EBB-8EF0-4770B994A5B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0" name="TextBox 2629">
          <a:extLst>
            <a:ext uri="{FF2B5EF4-FFF2-40B4-BE49-F238E27FC236}">
              <a16:creationId xmlns:a16="http://schemas.microsoft.com/office/drawing/2014/main" id="{CDE4CDBD-2BAF-4408-866A-555881F6CE1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1" name="TextBox 2630">
          <a:extLst>
            <a:ext uri="{FF2B5EF4-FFF2-40B4-BE49-F238E27FC236}">
              <a16:creationId xmlns:a16="http://schemas.microsoft.com/office/drawing/2014/main" id="{0D49DF65-E5E3-4DA4-84D9-C77FF95EC30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2" name="TextBox 1">
          <a:extLst>
            <a:ext uri="{FF2B5EF4-FFF2-40B4-BE49-F238E27FC236}">
              <a16:creationId xmlns:a16="http://schemas.microsoft.com/office/drawing/2014/main" id="{1C8CD8AE-E485-40B8-B044-FD49120BCF5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3" name="TextBox 1">
          <a:extLst>
            <a:ext uri="{FF2B5EF4-FFF2-40B4-BE49-F238E27FC236}">
              <a16:creationId xmlns:a16="http://schemas.microsoft.com/office/drawing/2014/main" id="{026DDE7E-A4B8-4903-896C-09763DF5686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4" name="TextBox 2633">
          <a:extLst>
            <a:ext uri="{FF2B5EF4-FFF2-40B4-BE49-F238E27FC236}">
              <a16:creationId xmlns:a16="http://schemas.microsoft.com/office/drawing/2014/main" id="{CEECA1BA-9B7A-4FA6-A7A1-17C5A31DA4B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5" name="TextBox 2634">
          <a:extLst>
            <a:ext uri="{FF2B5EF4-FFF2-40B4-BE49-F238E27FC236}">
              <a16:creationId xmlns:a16="http://schemas.microsoft.com/office/drawing/2014/main" id="{833934A1-2C61-4491-9AE0-4DD09E3C231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6" name="TextBox 1">
          <a:extLst>
            <a:ext uri="{FF2B5EF4-FFF2-40B4-BE49-F238E27FC236}">
              <a16:creationId xmlns:a16="http://schemas.microsoft.com/office/drawing/2014/main" id="{27C70340-20AE-4305-8686-9E47F29D110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7" name="TextBox 1">
          <a:extLst>
            <a:ext uri="{FF2B5EF4-FFF2-40B4-BE49-F238E27FC236}">
              <a16:creationId xmlns:a16="http://schemas.microsoft.com/office/drawing/2014/main" id="{2804B3C0-42CA-46A3-8752-101617C4EB5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8" name="TextBox 2637">
          <a:extLst>
            <a:ext uri="{FF2B5EF4-FFF2-40B4-BE49-F238E27FC236}">
              <a16:creationId xmlns:a16="http://schemas.microsoft.com/office/drawing/2014/main" id="{C65412CC-213A-4391-9F16-AF89AE7A91C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39" name="TextBox 2638">
          <a:extLst>
            <a:ext uri="{FF2B5EF4-FFF2-40B4-BE49-F238E27FC236}">
              <a16:creationId xmlns:a16="http://schemas.microsoft.com/office/drawing/2014/main" id="{12C7B5F1-3EBF-4EB6-AEF6-A5067BE279F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0" name="TextBox 1">
          <a:extLst>
            <a:ext uri="{FF2B5EF4-FFF2-40B4-BE49-F238E27FC236}">
              <a16:creationId xmlns:a16="http://schemas.microsoft.com/office/drawing/2014/main" id="{5082183A-3E65-4E89-9578-70189F3A208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1" name="TextBox 1">
          <a:extLst>
            <a:ext uri="{FF2B5EF4-FFF2-40B4-BE49-F238E27FC236}">
              <a16:creationId xmlns:a16="http://schemas.microsoft.com/office/drawing/2014/main" id="{F16B90BA-4373-4F33-A512-AC51FDADB4F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2" name="TextBox 2641">
          <a:extLst>
            <a:ext uri="{FF2B5EF4-FFF2-40B4-BE49-F238E27FC236}">
              <a16:creationId xmlns:a16="http://schemas.microsoft.com/office/drawing/2014/main" id="{48B7012A-C990-4FEC-8AFC-C78352A9E91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3" name="TextBox 2642">
          <a:extLst>
            <a:ext uri="{FF2B5EF4-FFF2-40B4-BE49-F238E27FC236}">
              <a16:creationId xmlns:a16="http://schemas.microsoft.com/office/drawing/2014/main" id="{AF7D05EF-8C48-4B67-B04F-8AE492508D5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4" name="TextBox 1">
          <a:extLst>
            <a:ext uri="{FF2B5EF4-FFF2-40B4-BE49-F238E27FC236}">
              <a16:creationId xmlns:a16="http://schemas.microsoft.com/office/drawing/2014/main" id="{B03191BC-1A56-4367-B870-647DCAC096D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5" name="TextBox 1">
          <a:extLst>
            <a:ext uri="{FF2B5EF4-FFF2-40B4-BE49-F238E27FC236}">
              <a16:creationId xmlns:a16="http://schemas.microsoft.com/office/drawing/2014/main" id="{B4CAE64B-3218-4F25-A237-E04729018AE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6" name="TextBox 2645">
          <a:extLst>
            <a:ext uri="{FF2B5EF4-FFF2-40B4-BE49-F238E27FC236}">
              <a16:creationId xmlns:a16="http://schemas.microsoft.com/office/drawing/2014/main" id="{8F88B181-9C3D-4FEB-B56A-47ACDB57C50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7" name="TextBox 2646">
          <a:extLst>
            <a:ext uri="{FF2B5EF4-FFF2-40B4-BE49-F238E27FC236}">
              <a16:creationId xmlns:a16="http://schemas.microsoft.com/office/drawing/2014/main" id="{378C00C5-0447-4E37-A391-51A6B1E7EC0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8" name="TextBox 1">
          <a:extLst>
            <a:ext uri="{FF2B5EF4-FFF2-40B4-BE49-F238E27FC236}">
              <a16:creationId xmlns:a16="http://schemas.microsoft.com/office/drawing/2014/main" id="{78247B5F-A52B-47A5-9009-41920607F97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49" name="TextBox 1">
          <a:extLst>
            <a:ext uri="{FF2B5EF4-FFF2-40B4-BE49-F238E27FC236}">
              <a16:creationId xmlns:a16="http://schemas.microsoft.com/office/drawing/2014/main" id="{581C3234-507B-4C43-8801-EA615B7284C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0" name="TextBox 2649">
          <a:extLst>
            <a:ext uri="{FF2B5EF4-FFF2-40B4-BE49-F238E27FC236}">
              <a16:creationId xmlns:a16="http://schemas.microsoft.com/office/drawing/2014/main" id="{BB919E02-DB20-4015-82E0-F4CBF97E960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1" name="TextBox 2650">
          <a:extLst>
            <a:ext uri="{FF2B5EF4-FFF2-40B4-BE49-F238E27FC236}">
              <a16:creationId xmlns:a16="http://schemas.microsoft.com/office/drawing/2014/main" id="{78166364-31CB-492C-9E23-D87138CD423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2" name="TextBox 1">
          <a:extLst>
            <a:ext uri="{FF2B5EF4-FFF2-40B4-BE49-F238E27FC236}">
              <a16:creationId xmlns:a16="http://schemas.microsoft.com/office/drawing/2014/main" id="{83300BCA-4346-4949-AB67-AD418B0339D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3" name="TextBox 1">
          <a:extLst>
            <a:ext uri="{FF2B5EF4-FFF2-40B4-BE49-F238E27FC236}">
              <a16:creationId xmlns:a16="http://schemas.microsoft.com/office/drawing/2014/main" id="{3875FAF3-8EDC-4591-8B6B-2420B034ACF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4" name="TextBox 2653">
          <a:extLst>
            <a:ext uri="{FF2B5EF4-FFF2-40B4-BE49-F238E27FC236}">
              <a16:creationId xmlns:a16="http://schemas.microsoft.com/office/drawing/2014/main" id="{19E44370-B5CA-4E8F-A6A8-2CDB507D0D9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5" name="TextBox 2654">
          <a:extLst>
            <a:ext uri="{FF2B5EF4-FFF2-40B4-BE49-F238E27FC236}">
              <a16:creationId xmlns:a16="http://schemas.microsoft.com/office/drawing/2014/main" id="{7A87AAB6-AA6D-4B30-8531-C748EE8ECE0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6" name="TextBox 1">
          <a:extLst>
            <a:ext uri="{FF2B5EF4-FFF2-40B4-BE49-F238E27FC236}">
              <a16:creationId xmlns:a16="http://schemas.microsoft.com/office/drawing/2014/main" id="{BCBD0D46-1A8D-4077-889C-C0552328C73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7" name="TextBox 1">
          <a:extLst>
            <a:ext uri="{FF2B5EF4-FFF2-40B4-BE49-F238E27FC236}">
              <a16:creationId xmlns:a16="http://schemas.microsoft.com/office/drawing/2014/main" id="{3D9660D5-A738-4917-8C5F-DBFD516FE07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8" name="TextBox 2657">
          <a:extLst>
            <a:ext uri="{FF2B5EF4-FFF2-40B4-BE49-F238E27FC236}">
              <a16:creationId xmlns:a16="http://schemas.microsoft.com/office/drawing/2014/main" id="{D0D84766-2012-4232-9AE3-475510129F2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59" name="TextBox 2658">
          <a:extLst>
            <a:ext uri="{FF2B5EF4-FFF2-40B4-BE49-F238E27FC236}">
              <a16:creationId xmlns:a16="http://schemas.microsoft.com/office/drawing/2014/main" id="{9759CE9D-A29A-41E2-A3F3-3D7C6129E5E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0" name="TextBox 1">
          <a:extLst>
            <a:ext uri="{FF2B5EF4-FFF2-40B4-BE49-F238E27FC236}">
              <a16:creationId xmlns:a16="http://schemas.microsoft.com/office/drawing/2014/main" id="{50474369-E115-4464-8E60-AA5948BDE31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1" name="TextBox 1">
          <a:extLst>
            <a:ext uri="{FF2B5EF4-FFF2-40B4-BE49-F238E27FC236}">
              <a16:creationId xmlns:a16="http://schemas.microsoft.com/office/drawing/2014/main" id="{C3B5839B-DF33-480E-8811-1AD5011DACD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2" name="TextBox 2661">
          <a:extLst>
            <a:ext uri="{FF2B5EF4-FFF2-40B4-BE49-F238E27FC236}">
              <a16:creationId xmlns:a16="http://schemas.microsoft.com/office/drawing/2014/main" id="{CF604EE3-31D9-40AA-B246-984696B6A31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3" name="TextBox 2662">
          <a:extLst>
            <a:ext uri="{FF2B5EF4-FFF2-40B4-BE49-F238E27FC236}">
              <a16:creationId xmlns:a16="http://schemas.microsoft.com/office/drawing/2014/main" id="{3D2B4ED4-E912-4562-AF8E-5687CCA3CFC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4" name="TextBox 1">
          <a:extLst>
            <a:ext uri="{FF2B5EF4-FFF2-40B4-BE49-F238E27FC236}">
              <a16:creationId xmlns:a16="http://schemas.microsoft.com/office/drawing/2014/main" id="{1DB4F291-E625-49CA-891E-53FF2A2C030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5" name="TextBox 1">
          <a:extLst>
            <a:ext uri="{FF2B5EF4-FFF2-40B4-BE49-F238E27FC236}">
              <a16:creationId xmlns:a16="http://schemas.microsoft.com/office/drawing/2014/main" id="{47482191-94A7-4ADE-877C-786E9C856A3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6" name="TextBox 2665">
          <a:extLst>
            <a:ext uri="{FF2B5EF4-FFF2-40B4-BE49-F238E27FC236}">
              <a16:creationId xmlns:a16="http://schemas.microsoft.com/office/drawing/2014/main" id="{1100EFEE-5CD5-4654-B902-7DB0BE1448B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7" name="TextBox 1">
          <a:extLst>
            <a:ext uri="{FF2B5EF4-FFF2-40B4-BE49-F238E27FC236}">
              <a16:creationId xmlns:a16="http://schemas.microsoft.com/office/drawing/2014/main" id="{AE94EA29-E35A-4E87-9BB3-E92A2241C60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8" name="TextBox 1">
          <a:extLst>
            <a:ext uri="{FF2B5EF4-FFF2-40B4-BE49-F238E27FC236}">
              <a16:creationId xmlns:a16="http://schemas.microsoft.com/office/drawing/2014/main" id="{2B345E08-253B-41D4-AC93-DF9797369DC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69" name="TextBox 2668">
          <a:extLst>
            <a:ext uri="{FF2B5EF4-FFF2-40B4-BE49-F238E27FC236}">
              <a16:creationId xmlns:a16="http://schemas.microsoft.com/office/drawing/2014/main" id="{A99FBE2D-FC1A-448F-BA1B-BA3D3BC9FF0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0" name="TextBox 1">
          <a:extLst>
            <a:ext uri="{FF2B5EF4-FFF2-40B4-BE49-F238E27FC236}">
              <a16:creationId xmlns:a16="http://schemas.microsoft.com/office/drawing/2014/main" id="{56B85CBD-3346-4121-8AF8-3C8FE2EB1ED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1" name="TextBox 2670">
          <a:extLst>
            <a:ext uri="{FF2B5EF4-FFF2-40B4-BE49-F238E27FC236}">
              <a16:creationId xmlns:a16="http://schemas.microsoft.com/office/drawing/2014/main" id="{F412D833-1B33-47D2-8E8C-5C4D3884281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2" name="TextBox 1">
          <a:extLst>
            <a:ext uri="{FF2B5EF4-FFF2-40B4-BE49-F238E27FC236}">
              <a16:creationId xmlns:a16="http://schemas.microsoft.com/office/drawing/2014/main" id="{F209056B-F4BF-4641-AE9E-6AFB12FDC43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3" name="TextBox 1">
          <a:extLst>
            <a:ext uri="{FF2B5EF4-FFF2-40B4-BE49-F238E27FC236}">
              <a16:creationId xmlns:a16="http://schemas.microsoft.com/office/drawing/2014/main" id="{77525AF5-A121-4A99-9F2B-C4AA62FF4C3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4" name="TextBox 2673">
          <a:extLst>
            <a:ext uri="{FF2B5EF4-FFF2-40B4-BE49-F238E27FC236}">
              <a16:creationId xmlns:a16="http://schemas.microsoft.com/office/drawing/2014/main" id="{3B5D2D20-1394-47EA-A13B-02ED3AC6E34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5" name="TextBox 2674">
          <a:extLst>
            <a:ext uri="{FF2B5EF4-FFF2-40B4-BE49-F238E27FC236}">
              <a16:creationId xmlns:a16="http://schemas.microsoft.com/office/drawing/2014/main" id="{CDF136AE-C92A-45F4-96A7-3F2FD04751E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6" name="TextBox 1">
          <a:extLst>
            <a:ext uri="{FF2B5EF4-FFF2-40B4-BE49-F238E27FC236}">
              <a16:creationId xmlns:a16="http://schemas.microsoft.com/office/drawing/2014/main" id="{622CD4DF-3461-45FA-A56C-0C001A0FE1C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7" name="TextBox 1">
          <a:extLst>
            <a:ext uri="{FF2B5EF4-FFF2-40B4-BE49-F238E27FC236}">
              <a16:creationId xmlns:a16="http://schemas.microsoft.com/office/drawing/2014/main" id="{679C4787-80E3-4D92-B7AE-7FBC29EA438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8" name="TextBox 2677">
          <a:extLst>
            <a:ext uri="{FF2B5EF4-FFF2-40B4-BE49-F238E27FC236}">
              <a16:creationId xmlns:a16="http://schemas.microsoft.com/office/drawing/2014/main" id="{7457ABFB-057D-457F-BDBF-0643CB344F6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79" name="TextBox 2678">
          <a:extLst>
            <a:ext uri="{FF2B5EF4-FFF2-40B4-BE49-F238E27FC236}">
              <a16:creationId xmlns:a16="http://schemas.microsoft.com/office/drawing/2014/main" id="{969474B0-68D4-4CAA-A3E1-040D8102B17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0" name="TextBox 2679">
          <a:extLst>
            <a:ext uri="{FF2B5EF4-FFF2-40B4-BE49-F238E27FC236}">
              <a16:creationId xmlns:a16="http://schemas.microsoft.com/office/drawing/2014/main" id="{63FAABBB-9BE8-4ECC-9446-BC0ED34F369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1" name="TextBox 1">
          <a:extLst>
            <a:ext uri="{FF2B5EF4-FFF2-40B4-BE49-F238E27FC236}">
              <a16:creationId xmlns:a16="http://schemas.microsoft.com/office/drawing/2014/main" id="{4463D6EA-425A-4383-8B92-972F8CDD753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2" name="TextBox 1">
          <a:extLst>
            <a:ext uri="{FF2B5EF4-FFF2-40B4-BE49-F238E27FC236}">
              <a16:creationId xmlns:a16="http://schemas.microsoft.com/office/drawing/2014/main" id="{5B36D598-AFF3-4205-86CF-6A76367FA3C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3" name="TextBox 2682">
          <a:extLst>
            <a:ext uri="{FF2B5EF4-FFF2-40B4-BE49-F238E27FC236}">
              <a16:creationId xmlns:a16="http://schemas.microsoft.com/office/drawing/2014/main" id="{737197EE-F9FB-4D42-9B40-1E97157F1E0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4" name="TextBox 2683">
          <a:extLst>
            <a:ext uri="{FF2B5EF4-FFF2-40B4-BE49-F238E27FC236}">
              <a16:creationId xmlns:a16="http://schemas.microsoft.com/office/drawing/2014/main" id="{CEA790C5-85CB-4C8D-B3A7-F83BB06FF8E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5" name="TextBox 1">
          <a:extLst>
            <a:ext uri="{FF2B5EF4-FFF2-40B4-BE49-F238E27FC236}">
              <a16:creationId xmlns:a16="http://schemas.microsoft.com/office/drawing/2014/main" id="{F9A57263-F201-4077-9192-C960B7F42EE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6" name="TextBox 1">
          <a:extLst>
            <a:ext uri="{FF2B5EF4-FFF2-40B4-BE49-F238E27FC236}">
              <a16:creationId xmlns:a16="http://schemas.microsoft.com/office/drawing/2014/main" id="{FC18D1D7-0E60-427C-BD98-6AD788BFCE7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7" name="TextBox 2686">
          <a:extLst>
            <a:ext uri="{FF2B5EF4-FFF2-40B4-BE49-F238E27FC236}">
              <a16:creationId xmlns:a16="http://schemas.microsoft.com/office/drawing/2014/main" id="{BC22F40B-4AE2-427C-B191-D6E1EFEC97B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8" name="TextBox 2687">
          <a:extLst>
            <a:ext uri="{FF2B5EF4-FFF2-40B4-BE49-F238E27FC236}">
              <a16:creationId xmlns:a16="http://schemas.microsoft.com/office/drawing/2014/main" id="{F7806A6A-CE16-4972-8BB8-DCBF6BBD957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89" name="TextBox 1">
          <a:extLst>
            <a:ext uri="{FF2B5EF4-FFF2-40B4-BE49-F238E27FC236}">
              <a16:creationId xmlns:a16="http://schemas.microsoft.com/office/drawing/2014/main" id="{3B0D66A4-742C-4EB2-9F73-D43AE795467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0" name="TextBox 1">
          <a:extLst>
            <a:ext uri="{FF2B5EF4-FFF2-40B4-BE49-F238E27FC236}">
              <a16:creationId xmlns:a16="http://schemas.microsoft.com/office/drawing/2014/main" id="{3998D9CF-64C4-4474-97A5-DCDB0106E4E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1" name="TextBox 2690">
          <a:extLst>
            <a:ext uri="{FF2B5EF4-FFF2-40B4-BE49-F238E27FC236}">
              <a16:creationId xmlns:a16="http://schemas.microsoft.com/office/drawing/2014/main" id="{33174F77-0C92-464F-84E6-62446CD9CA1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2" name="TextBox 2691">
          <a:extLst>
            <a:ext uri="{FF2B5EF4-FFF2-40B4-BE49-F238E27FC236}">
              <a16:creationId xmlns:a16="http://schemas.microsoft.com/office/drawing/2014/main" id="{78229115-6EAD-4153-B1B0-A1BDE0F223E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3" name="TextBox 1">
          <a:extLst>
            <a:ext uri="{FF2B5EF4-FFF2-40B4-BE49-F238E27FC236}">
              <a16:creationId xmlns:a16="http://schemas.microsoft.com/office/drawing/2014/main" id="{3FD06A5D-CB28-45AF-9DF1-0DF7F377A49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4" name="TextBox 1">
          <a:extLst>
            <a:ext uri="{FF2B5EF4-FFF2-40B4-BE49-F238E27FC236}">
              <a16:creationId xmlns:a16="http://schemas.microsoft.com/office/drawing/2014/main" id="{43783CF3-66E1-455B-B687-9BEDB3ACB0C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5" name="TextBox 2694">
          <a:extLst>
            <a:ext uri="{FF2B5EF4-FFF2-40B4-BE49-F238E27FC236}">
              <a16:creationId xmlns:a16="http://schemas.microsoft.com/office/drawing/2014/main" id="{41C1CE91-1B48-4F72-A090-9704FD2F29C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6" name="TextBox 2695">
          <a:extLst>
            <a:ext uri="{FF2B5EF4-FFF2-40B4-BE49-F238E27FC236}">
              <a16:creationId xmlns:a16="http://schemas.microsoft.com/office/drawing/2014/main" id="{6E99D6A0-13AF-4E78-BEBA-BB2B2419E46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7" name="TextBox 1">
          <a:extLst>
            <a:ext uri="{FF2B5EF4-FFF2-40B4-BE49-F238E27FC236}">
              <a16:creationId xmlns:a16="http://schemas.microsoft.com/office/drawing/2014/main" id="{1C82FF05-899F-4EA2-86F4-F8FB6BE1136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8" name="TextBox 1">
          <a:extLst>
            <a:ext uri="{FF2B5EF4-FFF2-40B4-BE49-F238E27FC236}">
              <a16:creationId xmlns:a16="http://schemas.microsoft.com/office/drawing/2014/main" id="{81387444-CC89-42D7-8435-49503E2FE88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699" name="TextBox 2698">
          <a:extLst>
            <a:ext uri="{FF2B5EF4-FFF2-40B4-BE49-F238E27FC236}">
              <a16:creationId xmlns:a16="http://schemas.microsoft.com/office/drawing/2014/main" id="{FC0BB052-4D33-4B67-B66D-73B0D5A511B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0" name="TextBox 2699">
          <a:extLst>
            <a:ext uri="{FF2B5EF4-FFF2-40B4-BE49-F238E27FC236}">
              <a16:creationId xmlns:a16="http://schemas.microsoft.com/office/drawing/2014/main" id="{35C720C8-3DCD-4337-9B41-2BB629701FA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1" name="TextBox 1">
          <a:extLst>
            <a:ext uri="{FF2B5EF4-FFF2-40B4-BE49-F238E27FC236}">
              <a16:creationId xmlns:a16="http://schemas.microsoft.com/office/drawing/2014/main" id="{854DF306-27BE-4C8A-81B8-31C1A7124B8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2" name="TextBox 1">
          <a:extLst>
            <a:ext uri="{FF2B5EF4-FFF2-40B4-BE49-F238E27FC236}">
              <a16:creationId xmlns:a16="http://schemas.microsoft.com/office/drawing/2014/main" id="{F7197769-CF31-4999-8C51-8C359B9BE15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3" name="TextBox 2702">
          <a:extLst>
            <a:ext uri="{FF2B5EF4-FFF2-40B4-BE49-F238E27FC236}">
              <a16:creationId xmlns:a16="http://schemas.microsoft.com/office/drawing/2014/main" id="{A2BE96E1-C4DC-4082-904C-97930BD2FA9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4" name="TextBox 2703">
          <a:extLst>
            <a:ext uri="{FF2B5EF4-FFF2-40B4-BE49-F238E27FC236}">
              <a16:creationId xmlns:a16="http://schemas.microsoft.com/office/drawing/2014/main" id="{4822FF43-3F67-4514-ACA1-712BE8AB41A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5" name="TextBox 1">
          <a:extLst>
            <a:ext uri="{FF2B5EF4-FFF2-40B4-BE49-F238E27FC236}">
              <a16:creationId xmlns:a16="http://schemas.microsoft.com/office/drawing/2014/main" id="{D44B1AC8-3168-428F-8CB4-810EE79A443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6" name="TextBox 1">
          <a:extLst>
            <a:ext uri="{FF2B5EF4-FFF2-40B4-BE49-F238E27FC236}">
              <a16:creationId xmlns:a16="http://schemas.microsoft.com/office/drawing/2014/main" id="{DAA13B36-1D82-4C56-8153-8538A88EA0E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7" name="TextBox 2706">
          <a:extLst>
            <a:ext uri="{FF2B5EF4-FFF2-40B4-BE49-F238E27FC236}">
              <a16:creationId xmlns:a16="http://schemas.microsoft.com/office/drawing/2014/main" id="{C0D8CBF5-38D0-40BD-AB91-78BB562B3F6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8" name="TextBox 2707">
          <a:extLst>
            <a:ext uri="{FF2B5EF4-FFF2-40B4-BE49-F238E27FC236}">
              <a16:creationId xmlns:a16="http://schemas.microsoft.com/office/drawing/2014/main" id="{704FB26A-3ECE-4BCA-AC9C-7372A77E017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09" name="TextBox 1">
          <a:extLst>
            <a:ext uri="{FF2B5EF4-FFF2-40B4-BE49-F238E27FC236}">
              <a16:creationId xmlns:a16="http://schemas.microsoft.com/office/drawing/2014/main" id="{24583447-3C87-4186-967A-541D64E1B15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0" name="TextBox 1">
          <a:extLst>
            <a:ext uri="{FF2B5EF4-FFF2-40B4-BE49-F238E27FC236}">
              <a16:creationId xmlns:a16="http://schemas.microsoft.com/office/drawing/2014/main" id="{01FA50CB-F5F4-4443-8913-F47C93EE045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1" name="TextBox 2710">
          <a:extLst>
            <a:ext uri="{FF2B5EF4-FFF2-40B4-BE49-F238E27FC236}">
              <a16:creationId xmlns:a16="http://schemas.microsoft.com/office/drawing/2014/main" id="{55F22C75-B79B-4A9C-BC79-27D0D8AFD32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2" name="TextBox 2711">
          <a:extLst>
            <a:ext uri="{FF2B5EF4-FFF2-40B4-BE49-F238E27FC236}">
              <a16:creationId xmlns:a16="http://schemas.microsoft.com/office/drawing/2014/main" id="{935BA484-EE85-46DD-9C62-8365F30251D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3" name="TextBox 1">
          <a:extLst>
            <a:ext uri="{FF2B5EF4-FFF2-40B4-BE49-F238E27FC236}">
              <a16:creationId xmlns:a16="http://schemas.microsoft.com/office/drawing/2014/main" id="{C5BB2F06-6775-4770-A2BC-4AAD2C002D0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4" name="TextBox 1">
          <a:extLst>
            <a:ext uri="{FF2B5EF4-FFF2-40B4-BE49-F238E27FC236}">
              <a16:creationId xmlns:a16="http://schemas.microsoft.com/office/drawing/2014/main" id="{5B315DF1-6626-4A69-8883-F07FE0D3223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5" name="TextBox 2714">
          <a:extLst>
            <a:ext uri="{FF2B5EF4-FFF2-40B4-BE49-F238E27FC236}">
              <a16:creationId xmlns:a16="http://schemas.microsoft.com/office/drawing/2014/main" id="{8256B0A6-2B61-4D36-BD07-1CEC71D89CC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6" name="TextBox 2715">
          <a:extLst>
            <a:ext uri="{FF2B5EF4-FFF2-40B4-BE49-F238E27FC236}">
              <a16:creationId xmlns:a16="http://schemas.microsoft.com/office/drawing/2014/main" id="{10AE9CA8-9FC9-44D6-B53E-EB1AAF99D7B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7" name="TextBox 2716">
          <a:extLst>
            <a:ext uri="{FF2B5EF4-FFF2-40B4-BE49-F238E27FC236}">
              <a16:creationId xmlns:a16="http://schemas.microsoft.com/office/drawing/2014/main" id="{A205A038-943B-4019-9D5E-6202AB8368D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8" name="TextBox 1">
          <a:extLst>
            <a:ext uri="{FF2B5EF4-FFF2-40B4-BE49-F238E27FC236}">
              <a16:creationId xmlns:a16="http://schemas.microsoft.com/office/drawing/2014/main" id="{EAB5C70E-C5AF-45BC-AE98-00961D10DCD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19" name="TextBox 1">
          <a:extLst>
            <a:ext uri="{FF2B5EF4-FFF2-40B4-BE49-F238E27FC236}">
              <a16:creationId xmlns:a16="http://schemas.microsoft.com/office/drawing/2014/main" id="{4F2192DA-0E66-4BF4-97A5-190E3E9F828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0" name="TextBox 2719">
          <a:extLst>
            <a:ext uri="{FF2B5EF4-FFF2-40B4-BE49-F238E27FC236}">
              <a16:creationId xmlns:a16="http://schemas.microsoft.com/office/drawing/2014/main" id="{76EB9BEE-6035-4088-BAB0-1A62894B2A8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1" name="TextBox 2720">
          <a:extLst>
            <a:ext uri="{FF2B5EF4-FFF2-40B4-BE49-F238E27FC236}">
              <a16:creationId xmlns:a16="http://schemas.microsoft.com/office/drawing/2014/main" id="{6D09A4EE-1B54-47B1-A15A-168E5C0D71B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2" name="TextBox 1">
          <a:extLst>
            <a:ext uri="{FF2B5EF4-FFF2-40B4-BE49-F238E27FC236}">
              <a16:creationId xmlns:a16="http://schemas.microsoft.com/office/drawing/2014/main" id="{5CC7DA97-E3E4-40B4-9247-2977EF5C291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3" name="TextBox 1">
          <a:extLst>
            <a:ext uri="{FF2B5EF4-FFF2-40B4-BE49-F238E27FC236}">
              <a16:creationId xmlns:a16="http://schemas.microsoft.com/office/drawing/2014/main" id="{C338044C-3C8F-43A7-9EA7-7333B09C279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4" name="TextBox 2723">
          <a:extLst>
            <a:ext uri="{FF2B5EF4-FFF2-40B4-BE49-F238E27FC236}">
              <a16:creationId xmlns:a16="http://schemas.microsoft.com/office/drawing/2014/main" id="{1D00432B-19FA-4786-B3AD-04B5E5FB26D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5" name="TextBox 2724">
          <a:extLst>
            <a:ext uri="{FF2B5EF4-FFF2-40B4-BE49-F238E27FC236}">
              <a16:creationId xmlns:a16="http://schemas.microsoft.com/office/drawing/2014/main" id="{CF81688A-1EAA-44E6-846F-D18A03E34DA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6" name="TextBox 1">
          <a:extLst>
            <a:ext uri="{FF2B5EF4-FFF2-40B4-BE49-F238E27FC236}">
              <a16:creationId xmlns:a16="http://schemas.microsoft.com/office/drawing/2014/main" id="{9329D3F3-71C6-4B03-9EF3-46E92AE15DB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7" name="TextBox 1">
          <a:extLst>
            <a:ext uri="{FF2B5EF4-FFF2-40B4-BE49-F238E27FC236}">
              <a16:creationId xmlns:a16="http://schemas.microsoft.com/office/drawing/2014/main" id="{17D57C13-B992-4D4D-8C4D-A0E6E48D606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8" name="TextBox 2727">
          <a:extLst>
            <a:ext uri="{FF2B5EF4-FFF2-40B4-BE49-F238E27FC236}">
              <a16:creationId xmlns:a16="http://schemas.microsoft.com/office/drawing/2014/main" id="{0361A1C2-42F6-4DA8-A869-106A6498F8E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29" name="TextBox 2728">
          <a:extLst>
            <a:ext uri="{FF2B5EF4-FFF2-40B4-BE49-F238E27FC236}">
              <a16:creationId xmlns:a16="http://schemas.microsoft.com/office/drawing/2014/main" id="{6F2FFAAF-E065-4A5F-BACA-41E078A25DA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0" name="TextBox 1">
          <a:extLst>
            <a:ext uri="{FF2B5EF4-FFF2-40B4-BE49-F238E27FC236}">
              <a16:creationId xmlns:a16="http://schemas.microsoft.com/office/drawing/2014/main" id="{75D24520-EE6B-4379-BD29-33F806AC288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1" name="TextBox 1">
          <a:extLst>
            <a:ext uri="{FF2B5EF4-FFF2-40B4-BE49-F238E27FC236}">
              <a16:creationId xmlns:a16="http://schemas.microsoft.com/office/drawing/2014/main" id="{F0E4FA1D-534E-4CBE-9B36-56BD91E4724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2" name="TextBox 2731">
          <a:extLst>
            <a:ext uri="{FF2B5EF4-FFF2-40B4-BE49-F238E27FC236}">
              <a16:creationId xmlns:a16="http://schemas.microsoft.com/office/drawing/2014/main" id="{B3F52CD0-D519-4C86-8343-ECB8EAEC955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3" name="TextBox 2732">
          <a:extLst>
            <a:ext uri="{FF2B5EF4-FFF2-40B4-BE49-F238E27FC236}">
              <a16:creationId xmlns:a16="http://schemas.microsoft.com/office/drawing/2014/main" id="{8AFA96B6-7BD7-4C18-8240-BCFD9A83E88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4" name="TextBox 1">
          <a:extLst>
            <a:ext uri="{FF2B5EF4-FFF2-40B4-BE49-F238E27FC236}">
              <a16:creationId xmlns:a16="http://schemas.microsoft.com/office/drawing/2014/main" id="{75FDF9A5-11BB-4108-AD86-3A3ADED3039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5" name="TextBox 1">
          <a:extLst>
            <a:ext uri="{FF2B5EF4-FFF2-40B4-BE49-F238E27FC236}">
              <a16:creationId xmlns:a16="http://schemas.microsoft.com/office/drawing/2014/main" id="{DBE60E19-DFAB-4026-9AA2-A6C773CCE9D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6" name="TextBox 2735">
          <a:extLst>
            <a:ext uri="{FF2B5EF4-FFF2-40B4-BE49-F238E27FC236}">
              <a16:creationId xmlns:a16="http://schemas.microsoft.com/office/drawing/2014/main" id="{7A715077-9301-4BD0-BBB4-14D8039ED83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7" name="TextBox 2736">
          <a:extLst>
            <a:ext uri="{FF2B5EF4-FFF2-40B4-BE49-F238E27FC236}">
              <a16:creationId xmlns:a16="http://schemas.microsoft.com/office/drawing/2014/main" id="{2F16EAE4-FA21-49CF-95CD-38273247E74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8" name="TextBox 1">
          <a:extLst>
            <a:ext uri="{FF2B5EF4-FFF2-40B4-BE49-F238E27FC236}">
              <a16:creationId xmlns:a16="http://schemas.microsoft.com/office/drawing/2014/main" id="{4E73CCAF-246C-4DD3-809A-2FEC82D43C2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39" name="TextBox 1">
          <a:extLst>
            <a:ext uri="{FF2B5EF4-FFF2-40B4-BE49-F238E27FC236}">
              <a16:creationId xmlns:a16="http://schemas.microsoft.com/office/drawing/2014/main" id="{318AC2B6-1E44-45AB-8E42-3DEB2BD8976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0" name="TextBox 2739">
          <a:extLst>
            <a:ext uri="{FF2B5EF4-FFF2-40B4-BE49-F238E27FC236}">
              <a16:creationId xmlns:a16="http://schemas.microsoft.com/office/drawing/2014/main" id="{512AA704-A43B-4FF3-A5EA-A226682A14C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1" name="TextBox 2740">
          <a:extLst>
            <a:ext uri="{FF2B5EF4-FFF2-40B4-BE49-F238E27FC236}">
              <a16:creationId xmlns:a16="http://schemas.microsoft.com/office/drawing/2014/main" id="{4CBDA1BF-85EF-4150-B3EF-D182FC5846C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2" name="TextBox 1">
          <a:extLst>
            <a:ext uri="{FF2B5EF4-FFF2-40B4-BE49-F238E27FC236}">
              <a16:creationId xmlns:a16="http://schemas.microsoft.com/office/drawing/2014/main" id="{695914A0-DE27-4492-8C8C-74DA7814A76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3" name="TextBox 1">
          <a:extLst>
            <a:ext uri="{FF2B5EF4-FFF2-40B4-BE49-F238E27FC236}">
              <a16:creationId xmlns:a16="http://schemas.microsoft.com/office/drawing/2014/main" id="{92710471-DF79-4789-91DA-938DCB01A85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4" name="TextBox 2743">
          <a:extLst>
            <a:ext uri="{FF2B5EF4-FFF2-40B4-BE49-F238E27FC236}">
              <a16:creationId xmlns:a16="http://schemas.microsoft.com/office/drawing/2014/main" id="{8CAAE2EE-2437-4CA9-B1D8-EFE21C3C55E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5" name="TextBox 2744">
          <a:extLst>
            <a:ext uri="{FF2B5EF4-FFF2-40B4-BE49-F238E27FC236}">
              <a16:creationId xmlns:a16="http://schemas.microsoft.com/office/drawing/2014/main" id="{FDF48B12-56EA-404B-95C2-5C19402AAD0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6" name="TextBox 1">
          <a:extLst>
            <a:ext uri="{FF2B5EF4-FFF2-40B4-BE49-F238E27FC236}">
              <a16:creationId xmlns:a16="http://schemas.microsoft.com/office/drawing/2014/main" id="{1D9541B8-7572-40B3-9195-6364AA2E394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7" name="TextBox 1">
          <a:extLst>
            <a:ext uri="{FF2B5EF4-FFF2-40B4-BE49-F238E27FC236}">
              <a16:creationId xmlns:a16="http://schemas.microsoft.com/office/drawing/2014/main" id="{168ACEE3-0F11-44F2-B563-8492942D314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8" name="TextBox 2747">
          <a:extLst>
            <a:ext uri="{FF2B5EF4-FFF2-40B4-BE49-F238E27FC236}">
              <a16:creationId xmlns:a16="http://schemas.microsoft.com/office/drawing/2014/main" id="{092D8392-4CD9-4AA0-A44B-DD2E586666B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49" name="TextBox 2748">
          <a:extLst>
            <a:ext uri="{FF2B5EF4-FFF2-40B4-BE49-F238E27FC236}">
              <a16:creationId xmlns:a16="http://schemas.microsoft.com/office/drawing/2014/main" id="{38A9E88F-CEC8-4EE8-85C8-672911543B8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0" name="TextBox 1">
          <a:extLst>
            <a:ext uri="{FF2B5EF4-FFF2-40B4-BE49-F238E27FC236}">
              <a16:creationId xmlns:a16="http://schemas.microsoft.com/office/drawing/2014/main" id="{8B9C6145-65B7-4CDF-A4D8-9BFC95992A9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1" name="TextBox 1">
          <a:extLst>
            <a:ext uri="{FF2B5EF4-FFF2-40B4-BE49-F238E27FC236}">
              <a16:creationId xmlns:a16="http://schemas.microsoft.com/office/drawing/2014/main" id="{091AD3DC-E6BA-49DA-AF2E-59B58F42A17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2" name="TextBox 2751">
          <a:extLst>
            <a:ext uri="{FF2B5EF4-FFF2-40B4-BE49-F238E27FC236}">
              <a16:creationId xmlns:a16="http://schemas.microsoft.com/office/drawing/2014/main" id="{E8DBA284-03E3-496D-837E-9669F6A39C9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3" name="TextBox 2752">
          <a:extLst>
            <a:ext uri="{FF2B5EF4-FFF2-40B4-BE49-F238E27FC236}">
              <a16:creationId xmlns:a16="http://schemas.microsoft.com/office/drawing/2014/main" id="{86E038F2-C37F-442A-8111-9E3AECFDBDC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4" name="TextBox 1">
          <a:extLst>
            <a:ext uri="{FF2B5EF4-FFF2-40B4-BE49-F238E27FC236}">
              <a16:creationId xmlns:a16="http://schemas.microsoft.com/office/drawing/2014/main" id="{812BB4BB-2D80-4DC9-B533-21F2DE62CBF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5" name="TextBox 1">
          <a:extLst>
            <a:ext uri="{FF2B5EF4-FFF2-40B4-BE49-F238E27FC236}">
              <a16:creationId xmlns:a16="http://schemas.microsoft.com/office/drawing/2014/main" id="{C975AEFC-4B3D-46DB-93C0-A3199688608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6" name="TextBox 2755">
          <a:extLst>
            <a:ext uri="{FF2B5EF4-FFF2-40B4-BE49-F238E27FC236}">
              <a16:creationId xmlns:a16="http://schemas.microsoft.com/office/drawing/2014/main" id="{9EB90371-E437-4A19-8F75-27F3DB91AC4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7" name="TextBox 2756">
          <a:extLst>
            <a:ext uri="{FF2B5EF4-FFF2-40B4-BE49-F238E27FC236}">
              <a16:creationId xmlns:a16="http://schemas.microsoft.com/office/drawing/2014/main" id="{A4704A09-76C9-44F5-BF7B-1137E09EBAD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8" name="TextBox 1">
          <a:extLst>
            <a:ext uri="{FF2B5EF4-FFF2-40B4-BE49-F238E27FC236}">
              <a16:creationId xmlns:a16="http://schemas.microsoft.com/office/drawing/2014/main" id="{37509EE3-8540-4200-A636-66AB0798F23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59" name="TextBox 1">
          <a:extLst>
            <a:ext uri="{FF2B5EF4-FFF2-40B4-BE49-F238E27FC236}">
              <a16:creationId xmlns:a16="http://schemas.microsoft.com/office/drawing/2014/main" id="{94FA635A-5FCD-4699-8475-39ACB72BD79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0" name="TextBox 2759">
          <a:extLst>
            <a:ext uri="{FF2B5EF4-FFF2-40B4-BE49-F238E27FC236}">
              <a16:creationId xmlns:a16="http://schemas.microsoft.com/office/drawing/2014/main" id="{D6CC3C63-C734-4576-ADBF-F7ED225C313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1" name="TextBox 2760">
          <a:extLst>
            <a:ext uri="{FF2B5EF4-FFF2-40B4-BE49-F238E27FC236}">
              <a16:creationId xmlns:a16="http://schemas.microsoft.com/office/drawing/2014/main" id="{EA3FADE0-C308-466D-B446-74C1EF84F89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2" name="TextBox 2761">
          <a:extLst>
            <a:ext uri="{FF2B5EF4-FFF2-40B4-BE49-F238E27FC236}">
              <a16:creationId xmlns:a16="http://schemas.microsoft.com/office/drawing/2014/main" id="{F8944B99-CE85-4D44-B647-B6CAB51ECF3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3" name="TextBox 1">
          <a:extLst>
            <a:ext uri="{FF2B5EF4-FFF2-40B4-BE49-F238E27FC236}">
              <a16:creationId xmlns:a16="http://schemas.microsoft.com/office/drawing/2014/main" id="{6D669C89-3043-4D42-8089-30C00AA0A1A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4" name="TextBox 1">
          <a:extLst>
            <a:ext uri="{FF2B5EF4-FFF2-40B4-BE49-F238E27FC236}">
              <a16:creationId xmlns:a16="http://schemas.microsoft.com/office/drawing/2014/main" id="{8CF29765-7E69-401B-9583-06AF785B594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5" name="TextBox 2764">
          <a:extLst>
            <a:ext uri="{FF2B5EF4-FFF2-40B4-BE49-F238E27FC236}">
              <a16:creationId xmlns:a16="http://schemas.microsoft.com/office/drawing/2014/main" id="{168C5103-61FC-4FD3-B57A-54DDCDC087F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6" name="TextBox 2765">
          <a:extLst>
            <a:ext uri="{FF2B5EF4-FFF2-40B4-BE49-F238E27FC236}">
              <a16:creationId xmlns:a16="http://schemas.microsoft.com/office/drawing/2014/main" id="{692D36EE-12C4-400E-AE54-8BB91B423BD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7" name="TextBox 1">
          <a:extLst>
            <a:ext uri="{FF2B5EF4-FFF2-40B4-BE49-F238E27FC236}">
              <a16:creationId xmlns:a16="http://schemas.microsoft.com/office/drawing/2014/main" id="{1727B7E8-5A44-447B-B2F0-2F724FADEF1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8" name="TextBox 1">
          <a:extLst>
            <a:ext uri="{FF2B5EF4-FFF2-40B4-BE49-F238E27FC236}">
              <a16:creationId xmlns:a16="http://schemas.microsoft.com/office/drawing/2014/main" id="{AED70594-A39E-4D80-92B3-F29CBFA126F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69" name="TextBox 2768">
          <a:extLst>
            <a:ext uri="{FF2B5EF4-FFF2-40B4-BE49-F238E27FC236}">
              <a16:creationId xmlns:a16="http://schemas.microsoft.com/office/drawing/2014/main" id="{9EDC0986-D0E9-437B-AEB2-D916CAC2E9C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0" name="TextBox 2769">
          <a:extLst>
            <a:ext uri="{FF2B5EF4-FFF2-40B4-BE49-F238E27FC236}">
              <a16:creationId xmlns:a16="http://schemas.microsoft.com/office/drawing/2014/main" id="{CD0E365F-81C2-4A3B-9BAD-48295A28D3A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1" name="TextBox 1">
          <a:extLst>
            <a:ext uri="{FF2B5EF4-FFF2-40B4-BE49-F238E27FC236}">
              <a16:creationId xmlns:a16="http://schemas.microsoft.com/office/drawing/2014/main" id="{36E1EC5C-242A-4147-94FF-A2696DA9DAB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2" name="TextBox 1">
          <a:extLst>
            <a:ext uri="{FF2B5EF4-FFF2-40B4-BE49-F238E27FC236}">
              <a16:creationId xmlns:a16="http://schemas.microsoft.com/office/drawing/2014/main" id="{B18E29A4-A1DE-4529-972E-AA886B2F00F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3" name="TextBox 2772">
          <a:extLst>
            <a:ext uri="{FF2B5EF4-FFF2-40B4-BE49-F238E27FC236}">
              <a16:creationId xmlns:a16="http://schemas.microsoft.com/office/drawing/2014/main" id="{BCF9D6F6-B46A-44F0-B6AA-B9857F3B447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4" name="TextBox 2773">
          <a:extLst>
            <a:ext uri="{FF2B5EF4-FFF2-40B4-BE49-F238E27FC236}">
              <a16:creationId xmlns:a16="http://schemas.microsoft.com/office/drawing/2014/main" id="{B9FCAD42-EB9F-47E5-A7E9-B9F69CF38EA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5" name="TextBox 1">
          <a:extLst>
            <a:ext uri="{FF2B5EF4-FFF2-40B4-BE49-F238E27FC236}">
              <a16:creationId xmlns:a16="http://schemas.microsoft.com/office/drawing/2014/main" id="{8E4DCD8B-F560-4048-9615-C6BF8B35CD5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6" name="TextBox 1">
          <a:extLst>
            <a:ext uri="{FF2B5EF4-FFF2-40B4-BE49-F238E27FC236}">
              <a16:creationId xmlns:a16="http://schemas.microsoft.com/office/drawing/2014/main" id="{B50C53F6-97F4-4C56-A5F7-87ADCF5A143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7" name="TextBox 2776">
          <a:extLst>
            <a:ext uri="{FF2B5EF4-FFF2-40B4-BE49-F238E27FC236}">
              <a16:creationId xmlns:a16="http://schemas.microsoft.com/office/drawing/2014/main" id="{EDA15A31-67AC-4023-9915-026056E32FA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8" name="TextBox 2777">
          <a:extLst>
            <a:ext uri="{FF2B5EF4-FFF2-40B4-BE49-F238E27FC236}">
              <a16:creationId xmlns:a16="http://schemas.microsoft.com/office/drawing/2014/main" id="{8F65A7FC-5B7D-4EDE-9D97-2EE5AE104B2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79" name="TextBox 1">
          <a:extLst>
            <a:ext uri="{FF2B5EF4-FFF2-40B4-BE49-F238E27FC236}">
              <a16:creationId xmlns:a16="http://schemas.microsoft.com/office/drawing/2014/main" id="{F9789CB1-A899-49E3-9D7E-8500EDE0150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0" name="TextBox 1">
          <a:extLst>
            <a:ext uri="{FF2B5EF4-FFF2-40B4-BE49-F238E27FC236}">
              <a16:creationId xmlns:a16="http://schemas.microsoft.com/office/drawing/2014/main" id="{13B6774E-A08C-4476-BC83-00139B95500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1" name="TextBox 2780">
          <a:extLst>
            <a:ext uri="{FF2B5EF4-FFF2-40B4-BE49-F238E27FC236}">
              <a16:creationId xmlns:a16="http://schemas.microsoft.com/office/drawing/2014/main" id="{173936E6-6BF1-4283-A77F-EF47753B4DB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2" name="TextBox 2781">
          <a:extLst>
            <a:ext uri="{FF2B5EF4-FFF2-40B4-BE49-F238E27FC236}">
              <a16:creationId xmlns:a16="http://schemas.microsoft.com/office/drawing/2014/main" id="{34C50CAA-624F-4C94-90F9-AFA5EE1DCBD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3" name="TextBox 1">
          <a:extLst>
            <a:ext uri="{FF2B5EF4-FFF2-40B4-BE49-F238E27FC236}">
              <a16:creationId xmlns:a16="http://schemas.microsoft.com/office/drawing/2014/main" id="{28D8EFFB-16ED-4753-8816-FB306939FF6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4" name="TextBox 1">
          <a:extLst>
            <a:ext uri="{FF2B5EF4-FFF2-40B4-BE49-F238E27FC236}">
              <a16:creationId xmlns:a16="http://schemas.microsoft.com/office/drawing/2014/main" id="{E3B07985-A834-40B7-85D9-1D9F86A585B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5" name="TextBox 2784">
          <a:extLst>
            <a:ext uri="{FF2B5EF4-FFF2-40B4-BE49-F238E27FC236}">
              <a16:creationId xmlns:a16="http://schemas.microsoft.com/office/drawing/2014/main" id="{706257CA-1300-4DB7-A76D-92A1CC5EDCB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6" name="TextBox 2785">
          <a:extLst>
            <a:ext uri="{FF2B5EF4-FFF2-40B4-BE49-F238E27FC236}">
              <a16:creationId xmlns:a16="http://schemas.microsoft.com/office/drawing/2014/main" id="{9992DB78-B88D-42FF-AF00-E179F46F3C8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7" name="TextBox 1">
          <a:extLst>
            <a:ext uri="{FF2B5EF4-FFF2-40B4-BE49-F238E27FC236}">
              <a16:creationId xmlns:a16="http://schemas.microsoft.com/office/drawing/2014/main" id="{3E47FFEF-EC0F-4684-892A-1B5700DFFE7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8" name="TextBox 1">
          <a:extLst>
            <a:ext uri="{FF2B5EF4-FFF2-40B4-BE49-F238E27FC236}">
              <a16:creationId xmlns:a16="http://schemas.microsoft.com/office/drawing/2014/main" id="{1F24CD1C-B9B0-4BD1-B4AB-510C9D25D5E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89" name="TextBox 2788">
          <a:extLst>
            <a:ext uri="{FF2B5EF4-FFF2-40B4-BE49-F238E27FC236}">
              <a16:creationId xmlns:a16="http://schemas.microsoft.com/office/drawing/2014/main" id="{ACF9EBDC-9C84-4400-859E-6203BAC24A2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0" name="TextBox 2789">
          <a:extLst>
            <a:ext uri="{FF2B5EF4-FFF2-40B4-BE49-F238E27FC236}">
              <a16:creationId xmlns:a16="http://schemas.microsoft.com/office/drawing/2014/main" id="{F80572C8-C509-4E3C-A4E9-374F72AE19B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1" name="TextBox 1">
          <a:extLst>
            <a:ext uri="{FF2B5EF4-FFF2-40B4-BE49-F238E27FC236}">
              <a16:creationId xmlns:a16="http://schemas.microsoft.com/office/drawing/2014/main" id="{8E7A3DAF-7111-4003-BED1-89A6E47282A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2" name="TextBox 1">
          <a:extLst>
            <a:ext uri="{FF2B5EF4-FFF2-40B4-BE49-F238E27FC236}">
              <a16:creationId xmlns:a16="http://schemas.microsoft.com/office/drawing/2014/main" id="{18FF31E9-1E75-4F1E-A294-59393229362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3" name="TextBox 2792">
          <a:extLst>
            <a:ext uri="{FF2B5EF4-FFF2-40B4-BE49-F238E27FC236}">
              <a16:creationId xmlns:a16="http://schemas.microsoft.com/office/drawing/2014/main" id="{28599781-1C49-4ADF-9999-E8000944448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4" name="TextBox 2793">
          <a:extLst>
            <a:ext uri="{FF2B5EF4-FFF2-40B4-BE49-F238E27FC236}">
              <a16:creationId xmlns:a16="http://schemas.microsoft.com/office/drawing/2014/main" id="{B71C1141-7C38-44C1-A5C4-7A954C1237A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5" name="TextBox 1">
          <a:extLst>
            <a:ext uri="{FF2B5EF4-FFF2-40B4-BE49-F238E27FC236}">
              <a16:creationId xmlns:a16="http://schemas.microsoft.com/office/drawing/2014/main" id="{7D9BC98F-13EC-408A-AAF3-C051032F893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6" name="TextBox 1">
          <a:extLst>
            <a:ext uri="{FF2B5EF4-FFF2-40B4-BE49-F238E27FC236}">
              <a16:creationId xmlns:a16="http://schemas.microsoft.com/office/drawing/2014/main" id="{9DBC00A7-A995-4A7C-A908-C3248B30999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7" name="TextBox 2796">
          <a:extLst>
            <a:ext uri="{FF2B5EF4-FFF2-40B4-BE49-F238E27FC236}">
              <a16:creationId xmlns:a16="http://schemas.microsoft.com/office/drawing/2014/main" id="{D9EAEE16-8447-4DA8-A638-FE7850EC3D5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8" name="TextBox 1">
          <a:extLst>
            <a:ext uri="{FF2B5EF4-FFF2-40B4-BE49-F238E27FC236}">
              <a16:creationId xmlns:a16="http://schemas.microsoft.com/office/drawing/2014/main" id="{9AB52206-D131-447B-95FA-5E54D05EF4D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799" name="TextBox 1">
          <a:extLst>
            <a:ext uri="{FF2B5EF4-FFF2-40B4-BE49-F238E27FC236}">
              <a16:creationId xmlns:a16="http://schemas.microsoft.com/office/drawing/2014/main" id="{F687EC82-A73C-4CEB-9F01-72ABA5B7F88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0" name="TextBox 2799">
          <a:extLst>
            <a:ext uri="{FF2B5EF4-FFF2-40B4-BE49-F238E27FC236}">
              <a16:creationId xmlns:a16="http://schemas.microsoft.com/office/drawing/2014/main" id="{A41B7DFD-FFF2-4655-9BD8-9412F482955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1" name="TextBox 1">
          <a:extLst>
            <a:ext uri="{FF2B5EF4-FFF2-40B4-BE49-F238E27FC236}">
              <a16:creationId xmlns:a16="http://schemas.microsoft.com/office/drawing/2014/main" id="{B0A3F85E-E2F9-4862-88A0-D4EC72C63D3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2" name="TextBox 2801">
          <a:extLst>
            <a:ext uri="{FF2B5EF4-FFF2-40B4-BE49-F238E27FC236}">
              <a16:creationId xmlns:a16="http://schemas.microsoft.com/office/drawing/2014/main" id="{22073B34-5C30-437D-856D-F232EA934AA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3" name="TextBox 1">
          <a:extLst>
            <a:ext uri="{FF2B5EF4-FFF2-40B4-BE49-F238E27FC236}">
              <a16:creationId xmlns:a16="http://schemas.microsoft.com/office/drawing/2014/main" id="{B13798C0-49A0-4752-B46C-352F1E1E4FC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4" name="TextBox 1">
          <a:extLst>
            <a:ext uri="{FF2B5EF4-FFF2-40B4-BE49-F238E27FC236}">
              <a16:creationId xmlns:a16="http://schemas.microsoft.com/office/drawing/2014/main" id="{FB75ED21-668F-42F5-B063-67A2213BADC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5" name="TextBox 2804">
          <a:extLst>
            <a:ext uri="{FF2B5EF4-FFF2-40B4-BE49-F238E27FC236}">
              <a16:creationId xmlns:a16="http://schemas.microsoft.com/office/drawing/2014/main" id="{B3557205-AAB3-4BCF-B7FC-E1DAFD4FE8D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6" name="TextBox 2805">
          <a:extLst>
            <a:ext uri="{FF2B5EF4-FFF2-40B4-BE49-F238E27FC236}">
              <a16:creationId xmlns:a16="http://schemas.microsoft.com/office/drawing/2014/main" id="{2F143CD4-2032-4B36-9833-96579399518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7" name="TextBox 1">
          <a:extLst>
            <a:ext uri="{FF2B5EF4-FFF2-40B4-BE49-F238E27FC236}">
              <a16:creationId xmlns:a16="http://schemas.microsoft.com/office/drawing/2014/main" id="{CFFA0C75-DC49-4270-9192-59915B138DE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8" name="TextBox 1">
          <a:extLst>
            <a:ext uri="{FF2B5EF4-FFF2-40B4-BE49-F238E27FC236}">
              <a16:creationId xmlns:a16="http://schemas.microsoft.com/office/drawing/2014/main" id="{F9965E65-FFD4-47DF-94FD-89382F52426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09" name="TextBox 2808">
          <a:extLst>
            <a:ext uri="{FF2B5EF4-FFF2-40B4-BE49-F238E27FC236}">
              <a16:creationId xmlns:a16="http://schemas.microsoft.com/office/drawing/2014/main" id="{01005887-863B-4546-A7E2-33E08D3BD18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0" name="TextBox 2809">
          <a:extLst>
            <a:ext uri="{FF2B5EF4-FFF2-40B4-BE49-F238E27FC236}">
              <a16:creationId xmlns:a16="http://schemas.microsoft.com/office/drawing/2014/main" id="{0B7E4545-D11F-461F-B44D-A6B6F717A2F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1" name="TextBox 2810">
          <a:extLst>
            <a:ext uri="{FF2B5EF4-FFF2-40B4-BE49-F238E27FC236}">
              <a16:creationId xmlns:a16="http://schemas.microsoft.com/office/drawing/2014/main" id="{C79A41A7-CADC-4002-80AC-7EC1933A0031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2" name="TextBox 1">
          <a:extLst>
            <a:ext uri="{FF2B5EF4-FFF2-40B4-BE49-F238E27FC236}">
              <a16:creationId xmlns:a16="http://schemas.microsoft.com/office/drawing/2014/main" id="{CCE8BD1A-5CB7-48C8-AEB7-AD86C259B64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3" name="TextBox 1">
          <a:extLst>
            <a:ext uri="{FF2B5EF4-FFF2-40B4-BE49-F238E27FC236}">
              <a16:creationId xmlns:a16="http://schemas.microsoft.com/office/drawing/2014/main" id="{CE7E655C-2D7D-46C4-979C-CDD3A1A8269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4" name="TextBox 2813">
          <a:extLst>
            <a:ext uri="{FF2B5EF4-FFF2-40B4-BE49-F238E27FC236}">
              <a16:creationId xmlns:a16="http://schemas.microsoft.com/office/drawing/2014/main" id="{D0D1C7D4-ED8E-4130-B020-287358464E2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5" name="TextBox 2814">
          <a:extLst>
            <a:ext uri="{FF2B5EF4-FFF2-40B4-BE49-F238E27FC236}">
              <a16:creationId xmlns:a16="http://schemas.microsoft.com/office/drawing/2014/main" id="{FC788292-8FB6-4894-8144-83AC45F1CE5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6" name="TextBox 1">
          <a:extLst>
            <a:ext uri="{FF2B5EF4-FFF2-40B4-BE49-F238E27FC236}">
              <a16:creationId xmlns:a16="http://schemas.microsoft.com/office/drawing/2014/main" id="{DA78E1CB-EE72-4995-9DEF-8D3C416FC32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7" name="TextBox 1">
          <a:extLst>
            <a:ext uri="{FF2B5EF4-FFF2-40B4-BE49-F238E27FC236}">
              <a16:creationId xmlns:a16="http://schemas.microsoft.com/office/drawing/2014/main" id="{D2B2F437-401B-4E82-A978-85A77BF52A1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8" name="TextBox 2817">
          <a:extLst>
            <a:ext uri="{FF2B5EF4-FFF2-40B4-BE49-F238E27FC236}">
              <a16:creationId xmlns:a16="http://schemas.microsoft.com/office/drawing/2014/main" id="{3CF4BFF3-01BB-4324-9450-34587A8719A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19" name="TextBox 2818">
          <a:extLst>
            <a:ext uri="{FF2B5EF4-FFF2-40B4-BE49-F238E27FC236}">
              <a16:creationId xmlns:a16="http://schemas.microsoft.com/office/drawing/2014/main" id="{44B41EB2-384D-4238-A7BF-0A59CFD26DA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0" name="TextBox 1">
          <a:extLst>
            <a:ext uri="{FF2B5EF4-FFF2-40B4-BE49-F238E27FC236}">
              <a16:creationId xmlns:a16="http://schemas.microsoft.com/office/drawing/2014/main" id="{0E6BC3F7-1BC6-4C70-B386-F7AC04B755F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1" name="TextBox 1">
          <a:extLst>
            <a:ext uri="{FF2B5EF4-FFF2-40B4-BE49-F238E27FC236}">
              <a16:creationId xmlns:a16="http://schemas.microsoft.com/office/drawing/2014/main" id="{B8949B61-61AD-4A61-BC01-7722747E70F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2" name="TextBox 2821">
          <a:extLst>
            <a:ext uri="{FF2B5EF4-FFF2-40B4-BE49-F238E27FC236}">
              <a16:creationId xmlns:a16="http://schemas.microsoft.com/office/drawing/2014/main" id="{99607128-5E73-473D-9E9F-B0DBE08B1A1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3" name="TextBox 2822">
          <a:extLst>
            <a:ext uri="{FF2B5EF4-FFF2-40B4-BE49-F238E27FC236}">
              <a16:creationId xmlns:a16="http://schemas.microsoft.com/office/drawing/2014/main" id="{3745F822-6262-4D75-A5B4-D9E9499BA85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4" name="TextBox 1">
          <a:extLst>
            <a:ext uri="{FF2B5EF4-FFF2-40B4-BE49-F238E27FC236}">
              <a16:creationId xmlns:a16="http://schemas.microsoft.com/office/drawing/2014/main" id="{1CAAC96B-8ECE-4030-A92A-D69CE603F66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5" name="TextBox 1">
          <a:extLst>
            <a:ext uri="{FF2B5EF4-FFF2-40B4-BE49-F238E27FC236}">
              <a16:creationId xmlns:a16="http://schemas.microsoft.com/office/drawing/2014/main" id="{BAD18EF0-8501-4F80-BC99-8AEB7F1551E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6" name="TextBox 2825">
          <a:extLst>
            <a:ext uri="{FF2B5EF4-FFF2-40B4-BE49-F238E27FC236}">
              <a16:creationId xmlns:a16="http://schemas.microsoft.com/office/drawing/2014/main" id="{8FEDFD80-C004-44FF-958C-86D84B949E9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7" name="TextBox 2826">
          <a:extLst>
            <a:ext uri="{FF2B5EF4-FFF2-40B4-BE49-F238E27FC236}">
              <a16:creationId xmlns:a16="http://schemas.microsoft.com/office/drawing/2014/main" id="{30418E63-6227-4B2C-BB29-D1F77C6C4AA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8" name="TextBox 1">
          <a:extLst>
            <a:ext uri="{FF2B5EF4-FFF2-40B4-BE49-F238E27FC236}">
              <a16:creationId xmlns:a16="http://schemas.microsoft.com/office/drawing/2014/main" id="{93BDC138-E545-4883-A8D1-BC9CBDB1F9C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29" name="TextBox 1">
          <a:extLst>
            <a:ext uri="{FF2B5EF4-FFF2-40B4-BE49-F238E27FC236}">
              <a16:creationId xmlns:a16="http://schemas.microsoft.com/office/drawing/2014/main" id="{BAABE50C-068E-49C3-BFD4-E9F8EE8724F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0" name="TextBox 2829">
          <a:extLst>
            <a:ext uri="{FF2B5EF4-FFF2-40B4-BE49-F238E27FC236}">
              <a16:creationId xmlns:a16="http://schemas.microsoft.com/office/drawing/2014/main" id="{9069D383-8E92-4550-A934-F662BC227F4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1" name="TextBox 2830">
          <a:extLst>
            <a:ext uri="{FF2B5EF4-FFF2-40B4-BE49-F238E27FC236}">
              <a16:creationId xmlns:a16="http://schemas.microsoft.com/office/drawing/2014/main" id="{7185A1D7-E05C-4EB5-950A-2532AFF0C2A8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2" name="TextBox 1">
          <a:extLst>
            <a:ext uri="{FF2B5EF4-FFF2-40B4-BE49-F238E27FC236}">
              <a16:creationId xmlns:a16="http://schemas.microsoft.com/office/drawing/2014/main" id="{E8BDEF3E-827D-429D-922F-925E1B3A58B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3" name="TextBox 1">
          <a:extLst>
            <a:ext uri="{FF2B5EF4-FFF2-40B4-BE49-F238E27FC236}">
              <a16:creationId xmlns:a16="http://schemas.microsoft.com/office/drawing/2014/main" id="{02F3575B-3BA4-4786-8CBB-4A395D8E248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4" name="TextBox 2833">
          <a:extLst>
            <a:ext uri="{FF2B5EF4-FFF2-40B4-BE49-F238E27FC236}">
              <a16:creationId xmlns:a16="http://schemas.microsoft.com/office/drawing/2014/main" id="{8282D09A-29FE-4613-BB9E-6394EC40E95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5" name="TextBox 2834">
          <a:extLst>
            <a:ext uri="{FF2B5EF4-FFF2-40B4-BE49-F238E27FC236}">
              <a16:creationId xmlns:a16="http://schemas.microsoft.com/office/drawing/2014/main" id="{AFBFCE45-F05D-4C08-BB56-813A2A1341B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6" name="TextBox 1">
          <a:extLst>
            <a:ext uri="{FF2B5EF4-FFF2-40B4-BE49-F238E27FC236}">
              <a16:creationId xmlns:a16="http://schemas.microsoft.com/office/drawing/2014/main" id="{AFE5BB51-8ECD-4C08-B371-13F9A1E9729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7" name="TextBox 1">
          <a:extLst>
            <a:ext uri="{FF2B5EF4-FFF2-40B4-BE49-F238E27FC236}">
              <a16:creationId xmlns:a16="http://schemas.microsoft.com/office/drawing/2014/main" id="{9726FBEE-B679-4506-8E5A-BDDB4688677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8" name="TextBox 2837">
          <a:extLst>
            <a:ext uri="{FF2B5EF4-FFF2-40B4-BE49-F238E27FC236}">
              <a16:creationId xmlns:a16="http://schemas.microsoft.com/office/drawing/2014/main" id="{C29E909E-506E-4A5A-9C1E-3F5367D2CF2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39" name="TextBox 2838">
          <a:extLst>
            <a:ext uri="{FF2B5EF4-FFF2-40B4-BE49-F238E27FC236}">
              <a16:creationId xmlns:a16="http://schemas.microsoft.com/office/drawing/2014/main" id="{B6BDF968-5F66-42E7-890C-8B5723A4C12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0" name="TextBox 1">
          <a:extLst>
            <a:ext uri="{FF2B5EF4-FFF2-40B4-BE49-F238E27FC236}">
              <a16:creationId xmlns:a16="http://schemas.microsoft.com/office/drawing/2014/main" id="{72B9F13E-76DF-4F75-8FB5-6372AAE99E8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1" name="TextBox 1">
          <a:extLst>
            <a:ext uri="{FF2B5EF4-FFF2-40B4-BE49-F238E27FC236}">
              <a16:creationId xmlns:a16="http://schemas.microsoft.com/office/drawing/2014/main" id="{A3AFD726-9306-49FA-861C-271BA04BFEA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2" name="TextBox 2841">
          <a:extLst>
            <a:ext uri="{FF2B5EF4-FFF2-40B4-BE49-F238E27FC236}">
              <a16:creationId xmlns:a16="http://schemas.microsoft.com/office/drawing/2014/main" id="{8F013D19-68B6-4EAF-B6E5-E06D818AC8D7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3" name="TextBox 2842">
          <a:extLst>
            <a:ext uri="{FF2B5EF4-FFF2-40B4-BE49-F238E27FC236}">
              <a16:creationId xmlns:a16="http://schemas.microsoft.com/office/drawing/2014/main" id="{89848EB9-4745-469D-AABA-02CCB81A5D3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4" name="TextBox 1">
          <a:extLst>
            <a:ext uri="{FF2B5EF4-FFF2-40B4-BE49-F238E27FC236}">
              <a16:creationId xmlns:a16="http://schemas.microsoft.com/office/drawing/2014/main" id="{F40C2C40-4BF4-46F9-A79A-1102278C837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5" name="TextBox 1">
          <a:extLst>
            <a:ext uri="{FF2B5EF4-FFF2-40B4-BE49-F238E27FC236}">
              <a16:creationId xmlns:a16="http://schemas.microsoft.com/office/drawing/2014/main" id="{30CE3ECB-EF23-49C9-B396-2B3198F56E6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6" name="TextBox 2845">
          <a:extLst>
            <a:ext uri="{FF2B5EF4-FFF2-40B4-BE49-F238E27FC236}">
              <a16:creationId xmlns:a16="http://schemas.microsoft.com/office/drawing/2014/main" id="{CC9B09F6-3D7D-4378-9164-D78C467F2AF6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7" name="TextBox 2846">
          <a:extLst>
            <a:ext uri="{FF2B5EF4-FFF2-40B4-BE49-F238E27FC236}">
              <a16:creationId xmlns:a16="http://schemas.microsoft.com/office/drawing/2014/main" id="{C7B54CFA-8E25-4062-84E8-401B3F3270B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8" name="TextBox 2847">
          <a:extLst>
            <a:ext uri="{FF2B5EF4-FFF2-40B4-BE49-F238E27FC236}">
              <a16:creationId xmlns:a16="http://schemas.microsoft.com/office/drawing/2014/main" id="{9C8EC1A3-E6FF-4256-8AE9-4A98DC70D5D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49" name="TextBox 1">
          <a:extLst>
            <a:ext uri="{FF2B5EF4-FFF2-40B4-BE49-F238E27FC236}">
              <a16:creationId xmlns:a16="http://schemas.microsoft.com/office/drawing/2014/main" id="{4A1EF9E8-004E-42E3-BD0B-BC8BB034A32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0" name="TextBox 1">
          <a:extLst>
            <a:ext uri="{FF2B5EF4-FFF2-40B4-BE49-F238E27FC236}">
              <a16:creationId xmlns:a16="http://schemas.microsoft.com/office/drawing/2014/main" id="{70C38675-51BF-4314-AF2B-76497B38D30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1" name="TextBox 2850">
          <a:extLst>
            <a:ext uri="{FF2B5EF4-FFF2-40B4-BE49-F238E27FC236}">
              <a16:creationId xmlns:a16="http://schemas.microsoft.com/office/drawing/2014/main" id="{67897F3D-5972-43EA-80A0-2A5D0FE5E18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2" name="TextBox 2851">
          <a:extLst>
            <a:ext uri="{FF2B5EF4-FFF2-40B4-BE49-F238E27FC236}">
              <a16:creationId xmlns:a16="http://schemas.microsoft.com/office/drawing/2014/main" id="{8C8273E9-1933-4907-8262-CE2228748B4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3" name="TextBox 1">
          <a:extLst>
            <a:ext uri="{FF2B5EF4-FFF2-40B4-BE49-F238E27FC236}">
              <a16:creationId xmlns:a16="http://schemas.microsoft.com/office/drawing/2014/main" id="{718125EA-327D-42E9-A65D-D00690A943BC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4" name="TextBox 1">
          <a:extLst>
            <a:ext uri="{FF2B5EF4-FFF2-40B4-BE49-F238E27FC236}">
              <a16:creationId xmlns:a16="http://schemas.microsoft.com/office/drawing/2014/main" id="{2072E3C7-3EF9-46ED-9572-A6D05E892D6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5" name="TextBox 2854">
          <a:extLst>
            <a:ext uri="{FF2B5EF4-FFF2-40B4-BE49-F238E27FC236}">
              <a16:creationId xmlns:a16="http://schemas.microsoft.com/office/drawing/2014/main" id="{690342A3-19EF-4C0F-9C34-A8C09B13F5E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6" name="TextBox 2855">
          <a:extLst>
            <a:ext uri="{FF2B5EF4-FFF2-40B4-BE49-F238E27FC236}">
              <a16:creationId xmlns:a16="http://schemas.microsoft.com/office/drawing/2014/main" id="{F9A2C1A0-8EFE-4B2C-A42D-41FA1497C9C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7" name="TextBox 1">
          <a:extLst>
            <a:ext uri="{FF2B5EF4-FFF2-40B4-BE49-F238E27FC236}">
              <a16:creationId xmlns:a16="http://schemas.microsoft.com/office/drawing/2014/main" id="{70CC71CE-0907-4DCF-9E44-6DBFC02CA2B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8" name="TextBox 1">
          <a:extLst>
            <a:ext uri="{FF2B5EF4-FFF2-40B4-BE49-F238E27FC236}">
              <a16:creationId xmlns:a16="http://schemas.microsoft.com/office/drawing/2014/main" id="{B62A37D6-D7E9-47B7-8076-EC16FDC433A4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59" name="TextBox 2858">
          <a:extLst>
            <a:ext uri="{FF2B5EF4-FFF2-40B4-BE49-F238E27FC236}">
              <a16:creationId xmlns:a16="http://schemas.microsoft.com/office/drawing/2014/main" id="{3AB417B6-EB88-4558-8FF0-9E03F947A4FB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0" name="TextBox 2859">
          <a:extLst>
            <a:ext uri="{FF2B5EF4-FFF2-40B4-BE49-F238E27FC236}">
              <a16:creationId xmlns:a16="http://schemas.microsoft.com/office/drawing/2014/main" id="{ABBE3101-331A-45E3-A013-3A5A35A0930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1" name="TextBox 1">
          <a:extLst>
            <a:ext uri="{FF2B5EF4-FFF2-40B4-BE49-F238E27FC236}">
              <a16:creationId xmlns:a16="http://schemas.microsoft.com/office/drawing/2014/main" id="{337167CC-F1E7-4081-BA07-66EF9EB7AB6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2" name="TextBox 1">
          <a:extLst>
            <a:ext uri="{FF2B5EF4-FFF2-40B4-BE49-F238E27FC236}">
              <a16:creationId xmlns:a16="http://schemas.microsoft.com/office/drawing/2014/main" id="{CDEE1D08-453B-417E-91D2-6C4546819DD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3" name="TextBox 2862">
          <a:extLst>
            <a:ext uri="{FF2B5EF4-FFF2-40B4-BE49-F238E27FC236}">
              <a16:creationId xmlns:a16="http://schemas.microsoft.com/office/drawing/2014/main" id="{9B52A825-3D7B-4173-B47E-2713C9E7F70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4" name="TextBox 2863">
          <a:extLst>
            <a:ext uri="{FF2B5EF4-FFF2-40B4-BE49-F238E27FC236}">
              <a16:creationId xmlns:a16="http://schemas.microsoft.com/office/drawing/2014/main" id="{3FFEB924-B367-4A8C-918E-D1DE8497877F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5" name="TextBox 1">
          <a:extLst>
            <a:ext uri="{FF2B5EF4-FFF2-40B4-BE49-F238E27FC236}">
              <a16:creationId xmlns:a16="http://schemas.microsoft.com/office/drawing/2014/main" id="{509416B7-D5AE-4CFE-813B-9F79E972CC7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6" name="TextBox 1">
          <a:extLst>
            <a:ext uri="{FF2B5EF4-FFF2-40B4-BE49-F238E27FC236}">
              <a16:creationId xmlns:a16="http://schemas.microsoft.com/office/drawing/2014/main" id="{FD6F5B47-F2BF-4199-8740-A6F2BFE386B3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7" name="TextBox 2866">
          <a:extLst>
            <a:ext uri="{FF2B5EF4-FFF2-40B4-BE49-F238E27FC236}">
              <a16:creationId xmlns:a16="http://schemas.microsoft.com/office/drawing/2014/main" id="{978595DE-1D83-43DA-AB78-49E9A46BFFF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8" name="TextBox 2867">
          <a:extLst>
            <a:ext uri="{FF2B5EF4-FFF2-40B4-BE49-F238E27FC236}">
              <a16:creationId xmlns:a16="http://schemas.microsoft.com/office/drawing/2014/main" id="{67631E78-B94B-42C1-882A-2BA76B7003F9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69" name="TextBox 1">
          <a:extLst>
            <a:ext uri="{FF2B5EF4-FFF2-40B4-BE49-F238E27FC236}">
              <a16:creationId xmlns:a16="http://schemas.microsoft.com/office/drawing/2014/main" id="{790D9C6E-D5A2-4246-A1E2-5F138473E7A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0" name="TextBox 1">
          <a:extLst>
            <a:ext uri="{FF2B5EF4-FFF2-40B4-BE49-F238E27FC236}">
              <a16:creationId xmlns:a16="http://schemas.microsoft.com/office/drawing/2014/main" id="{2C1B4FD0-CC78-40BB-B305-069CFB76034D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1" name="TextBox 2870">
          <a:extLst>
            <a:ext uri="{FF2B5EF4-FFF2-40B4-BE49-F238E27FC236}">
              <a16:creationId xmlns:a16="http://schemas.microsoft.com/office/drawing/2014/main" id="{FDC22BE0-9035-41E0-9930-C78E0DF8A8F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2" name="TextBox 2871">
          <a:extLst>
            <a:ext uri="{FF2B5EF4-FFF2-40B4-BE49-F238E27FC236}">
              <a16:creationId xmlns:a16="http://schemas.microsoft.com/office/drawing/2014/main" id="{BAB34652-0EDE-4177-BDDB-69979FEC7B9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3" name="TextBox 1">
          <a:extLst>
            <a:ext uri="{FF2B5EF4-FFF2-40B4-BE49-F238E27FC236}">
              <a16:creationId xmlns:a16="http://schemas.microsoft.com/office/drawing/2014/main" id="{2DED6132-A225-462A-9BC8-E42E49DEA0D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4" name="TextBox 1">
          <a:extLst>
            <a:ext uri="{FF2B5EF4-FFF2-40B4-BE49-F238E27FC236}">
              <a16:creationId xmlns:a16="http://schemas.microsoft.com/office/drawing/2014/main" id="{44C62FE8-A496-48C5-B7CE-8AF6451D32D2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5" name="TextBox 2874">
          <a:extLst>
            <a:ext uri="{FF2B5EF4-FFF2-40B4-BE49-F238E27FC236}">
              <a16:creationId xmlns:a16="http://schemas.microsoft.com/office/drawing/2014/main" id="{4D603B89-75DE-4FEE-A989-F054F46DFD5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6" name="TextBox 2875">
          <a:extLst>
            <a:ext uri="{FF2B5EF4-FFF2-40B4-BE49-F238E27FC236}">
              <a16:creationId xmlns:a16="http://schemas.microsoft.com/office/drawing/2014/main" id="{640F1664-20EE-4866-97B0-2CBC9FBC94B0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7" name="TextBox 1">
          <a:extLst>
            <a:ext uri="{FF2B5EF4-FFF2-40B4-BE49-F238E27FC236}">
              <a16:creationId xmlns:a16="http://schemas.microsoft.com/office/drawing/2014/main" id="{EB5D09DF-79CE-4E84-8384-F763917F639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8" name="TextBox 1">
          <a:extLst>
            <a:ext uri="{FF2B5EF4-FFF2-40B4-BE49-F238E27FC236}">
              <a16:creationId xmlns:a16="http://schemas.microsoft.com/office/drawing/2014/main" id="{F9BAE393-0673-4EAD-830B-6C9AB3857CD5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79" name="TextBox 2878">
          <a:extLst>
            <a:ext uri="{FF2B5EF4-FFF2-40B4-BE49-F238E27FC236}">
              <a16:creationId xmlns:a16="http://schemas.microsoft.com/office/drawing/2014/main" id="{7AF8EE9B-63B4-4EA7-8955-03E76F6527A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80" name="TextBox 2879">
          <a:extLst>
            <a:ext uri="{FF2B5EF4-FFF2-40B4-BE49-F238E27FC236}">
              <a16:creationId xmlns:a16="http://schemas.microsoft.com/office/drawing/2014/main" id="{6CE644A8-4E83-41BC-BCAB-1DCC9D184BCA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81" name="TextBox 1">
          <a:extLst>
            <a:ext uri="{FF2B5EF4-FFF2-40B4-BE49-F238E27FC236}">
              <a16:creationId xmlns:a16="http://schemas.microsoft.com/office/drawing/2014/main" id="{00A87D69-3EEE-454B-BA30-3329DAC6DD2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82" name="TextBox 1">
          <a:extLst>
            <a:ext uri="{FF2B5EF4-FFF2-40B4-BE49-F238E27FC236}">
              <a16:creationId xmlns:a16="http://schemas.microsoft.com/office/drawing/2014/main" id="{661442A5-ABF5-48D6-8EE2-019066159F2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27</xdr:row>
      <xdr:rowOff>0</xdr:rowOff>
    </xdr:from>
    <xdr:ext cx="65" cy="172227"/>
    <xdr:sp macro="" textlink="">
      <xdr:nvSpPr>
        <xdr:cNvPr id="2883" name="TextBox 2882">
          <a:extLst>
            <a:ext uri="{FF2B5EF4-FFF2-40B4-BE49-F238E27FC236}">
              <a16:creationId xmlns:a16="http://schemas.microsoft.com/office/drawing/2014/main" id="{F5BA44AD-D42E-47B7-A20D-3ED55FC5709E}"/>
            </a:ext>
          </a:extLst>
        </xdr:cNvPr>
        <xdr:cNvSpPr txBox="1"/>
      </xdr:nvSpPr>
      <xdr:spPr>
        <a:xfrm>
          <a:off x="9263743" y="14836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84" name="TextBox 2883">
          <a:extLst>
            <a:ext uri="{FF2B5EF4-FFF2-40B4-BE49-F238E27FC236}">
              <a16:creationId xmlns:a16="http://schemas.microsoft.com/office/drawing/2014/main" id="{B07A5775-047C-4296-81E7-B98E153D21F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85" name="TextBox 1">
          <a:extLst>
            <a:ext uri="{FF2B5EF4-FFF2-40B4-BE49-F238E27FC236}">
              <a16:creationId xmlns:a16="http://schemas.microsoft.com/office/drawing/2014/main" id="{C70342C0-6ED7-4AB1-A7E0-748B3F3A1B9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86" name="TextBox 1">
          <a:extLst>
            <a:ext uri="{FF2B5EF4-FFF2-40B4-BE49-F238E27FC236}">
              <a16:creationId xmlns:a16="http://schemas.microsoft.com/office/drawing/2014/main" id="{76F99D71-E979-43B6-92A3-D3C3D882F4E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87" name="TextBox 2886">
          <a:extLst>
            <a:ext uri="{FF2B5EF4-FFF2-40B4-BE49-F238E27FC236}">
              <a16:creationId xmlns:a16="http://schemas.microsoft.com/office/drawing/2014/main" id="{84F222E0-3E30-4A4F-8AB0-38B0B0748AF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88" name="TextBox 2887">
          <a:extLst>
            <a:ext uri="{FF2B5EF4-FFF2-40B4-BE49-F238E27FC236}">
              <a16:creationId xmlns:a16="http://schemas.microsoft.com/office/drawing/2014/main" id="{5B13A724-B4AD-478D-8AFD-F9CDCF1A511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89" name="TextBox 1">
          <a:extLst>
            <a:ext uri="{FF2B5EF4-FFF2-40B4-BE49-F238E27FC236}">
              <a16:creationId xmlns:a16="http://schemas.microsoft.com/office/drawing/2014/main" id="{89FCF356-9E0C-449C-A709-2A9183B165C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0" name="TextBox 1">
          <a:extLst>
            <a:ext uri="{FF2B5EF4-FFF2-40B4-BE49-F238E27FC236}">
              <a16:creationId xmlns:a16="http://schemas.microsoft.com/office/drawing/2014/main" id="{45E50625-4484-4905-B105-7C3EFF6269C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1" name="TextBox 2890">
          <a:extLst>
            <a:ext uri="{FF2B5EF4-FFF2-40B4-BE49-F238E27FC236}">
              <a16:creationId xmlns:a16="http://schemas.microsoft.com/office/drawing/2014/main" id="{185C94CA-9AFB-4B7D-8FF6-18A6A13AB94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2" name="TextBox 2891">
          <a:extLst>
            <a:ext uri="{FF2B5EF4-FFF2-40B4-BE49-F238E27FC236}">
              <a16:creationId xmlns:a16="http://schemas.microsoft.com/office/drawing/2014/main" id="{6862E53B-F607-49C3-9873-4AE343BC185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3" name="TextBox 2892">
          <a:extLst>
            <a:ext uri="{FF2B5EF4-FFF2-40B4-BE49-F238E27FC236}">
              <a16:creationId xmlns:a16="http://schemas.microsoft.com/office/drawing/2014/main" id="{2853B4F1-FE62-4506-B451-3D83D4F5533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4" name="TextBox 1">
          <a:extLst>
            <a:ext uri="{FF2B5EF4-FFF2-40B4-BE49-F238E27FC236}">
              <a16:creationId xmlns:a16="http://schemas.microsoft.com/office/drawing/2014/main" id="{943C93A5-5BD2-4254-A107-BEBF448B9A7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5" name="TextBox 1">
          <a:extLst>
            <a:ext uri="{FF2B5EF4-FFF2-40B4-BE49-F238E27FC236}">
              <a16:creationId xmlns:a16="http://schemas.microsoft.com/office/drawing/2014/main" id="{0A63CAD9-307A-4E28-AAE5-BAFAF6AE59E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6" name="TextBox 2895">
          <a:extLst>
            <a:ext uri="{FF2B5EF4-FFF2-40B4-BE49-F238E27FC236}">
              <a16:creationId xmlns:a16="http://schemas.microsoft.com/office/drawing/2014/main" id="{5503625A-3B20-41A3-A165-05E456A2054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7" name="TextBox 2896">
          <a:extLst>
            <a:ext uri="{FF2B5EF4-FFF2-40B4-BE49-F238E27FC236}">
              <a16:creationId xmlns:a16="http://schemas.microsoft.com/office/drawing/2014/main" id="{9987A5EE-9206-40C8-9897-2C409F23F2D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8" name="TextBox 1">
          <a:extLst>
            <a:ext uri="{FF2B5EF4-FFF2-40B4-BE49-F238E27FC236}">
              <a16:creationId xmlns:a16="http://schemas.microsoft.com/office/drawing/2014/main" id="{0EFFD887-6039-4D34-99E4-E0EF85F5506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899" name="TextBox 1">
          <a:extLst>
            <a:ext uri="{FF2B5EF4-FFF2-40B4-BE49-F238E27FC236}">
              <a16:creationId xmlns:a16="http://schemas.microsoft.com/office/drawing/2014/main" id="{C221E987-39DD-4E46-93E0-DFC6C34EB3A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0" name="TextBox 2899">
          <a:extLst>
            <a:ext uri="{FF2B5EF4-FFF2-40B4-BE49-F238E27FC236}">
              <a16:creationId xmlns:a16="http://schemas.microsoft.com/office/drawing/2014/main" id="{7CBD45B2-0F9A-4C33-9F44-DE74D5FD817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1" name="TextBox 2900">
          <a:extLst>
            <a:ext uri="{FF2B5EF4-FFF2-40B4-BE49-F238E27FC236}">
              <a16:creationId xmlns:a16="http://schemas.microsoft.com/office/drawing/2014/main" id="{F0A00C1C-492F-4BC7-A1FF-DDBB206C1FC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2" name="TextBox 1">
          <a:extLst>
            <a:ext uri="{FF2B5EF4-FFF2-40B4-BE49-F238E27FC236}">
              <a16:creationId xmlns:a16="http://schemas.microsoft.com/office/drawing/2014/main" id="{DE17774E-F321-46FA-9298-7B118932122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3" name="TextBox 1">
          <a:extLst>
            <a:ext uri="{FF2B5EF4-FFF2-40B4-BE49-F238E27FC236}">
              <a16:creationId xmlns:a16="http://schemas.microsoft.com/office/drawing/2014/main" id="{F73C5F43-15B0-4D50-9273-DEC9CB474FB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4" name="TextBox 2903">
          <a:extLst>
            <a:ext uri="{FF2B5EF4-FFF2-40B4-BE49-F238E27FC236}">
              <a16:creationId xmlns:a16="http://schemas.microsoft.com/office/drawing/2014/main" id="{E17197BE-8B5C-4158-925C-0E1056B2F5F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5" name="TextBox 2904">
          <a:extLst>
            <a:ext uri="{FF2B5EF4-FFF2-40B4-BE49-F238E27FC236}">
              <a16:creationId xmlns:a16="http://schemas.microsoft.com/office/drawing/2014/main" id="{7F021CDB-DDF1-4C02-851C-F7CC163614F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6" name="TextBox 1">
          <a:extLst>
            <a:ext uri="{FF2B5EF4-FFF2-40B4-BE49-F238E27FC236}">
              <a16:creationId xmlns:a16="http://schemas.microsoft.com/office/drawing/2014/main" id="{C76376DC-BAAC-4C2C-9AB6-915E61DBB00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7" name="TextBox 1">
          <a:extLst>
            <a:ext uri="{FF2B5EF4-FFF2-40B4-BE49-F238E27FC236}">
              <a16:creationId xmlns:a16="http://schemas.microsoft.com/office/drawing/2014/main" id="{8C8CF4EA-DEC6-48A2-B0D8-009FCC4EF38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8" name="TextBox 2907">
          <a:extLst>
            <a:ext uri="{FF2B5EF4-FFF2-40B4-BE49-F238E27FC236}">
              <a16:creationId xmlns:a16="http://schemas.microsoft.com/office/drawing/2014/main" id="{BE56D2E1-C75D-4B08-B032-7085E9EB4EB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09" name="TextBox 2908">
          <a:extLst>
            <a:ext uri="{FF2B5EF4-FFF2-40B4-BE49-F238E27FC236}">
              <a16:creationId xmlns:a16="http://schemas.microsoft.com/office/drawing/2014/main" id="{4152FFEC-DC50-4EC1-BECA-7A364BDF8AA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0" name="TextBox 1">
          <a:extLst>
            <a:ext uri="{FF2B5EF4-FFF2-40B4-BE49-F238E27FC236}">
              <a16:creationId xmlns:a16="http://schemas.microsoft.com/office/drawing/2014/main" id="{2EE44716-D66E-4517-B0ED-77E0F47693A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1" name="TextBox 1">
          <a:extLst>
            <a:ext uri="{FF2B5EF4-FFF2-40B4-BE49-F238E27FC236}">
              <a16:creationId xmlns:a16="http://schemas.microsoft.com/office/drawing/2014/main" id="{5F093E20-DF21-4437-B04C-A2951F51749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2" name="TextBox 2911">
          <a:extLst>
            <a:ext uri="{FF2B5EF4-FFF2-40B4-BE49-F238E27FC236}">
              <a16:creationId xmlns:a16="http://schemas.microsoft.com/office/drawing/2014/main" id="{F3996E68-39F5-4603-988B-DB3E6CD4F3A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3" name="TextBox 2912">
          <a:extLst>
            <a:ext uri="{FF2B5EF4-FFF2-40B4-BE49-F238E27FC236}">
              <a16:creationId xmlns:a16="http://schemas.microsoft.com/office/drawing/2014/main" id="{E6582927-947F-4A3A-BC9A-786E5172468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4" name="TextBox 1">
          <a:extLst>
            <a:ext uri="{FF2B5EF4-FFF2-40B4-BE49-F238E27FC236}">
              <a16:creationId xmlns:a16="http://schemas.microsoft.com/office/drawing/2014/main" id="{4D47D83F-53D6-4F74-B6D7-7E4E8168DC8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5" name="TextBox 1">
          <a:extLst>
            <a:ext uri="{FF2B5EF4-FFF2-40B4-BE49-F238E27FC236}">
              <a16:creationId xmlns:a16="http://schemas.microsoft.com/office/drawing/2014/main" id="{7B4066C7-3B3D-4B5E-BCD1-6AEF5E8F653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6" name="TextBox 2915">
          <a:extLst>
            <a:ext uri="{FF2B5EF4-FFF2-40B4-BE49-F238E27FC236}">
              <a16:creationId xmlns:a16="http://schemas.microsoft.com/office/drawing/2014/main" id="{638C3AD7-90AA-4EF7-8C8F-07E19FB25D0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7" name="TextBox 2916">
          <a:extLst>
            <a:ext uri="{FF2B5EF4-FFF2-40B4-BE49-F238E27FC236}">
              <a16:creationId xmlns:a16="http://schemas.microsoft.com/office/drawing/2014/main" id="{B84046A2-E348-4015-8B8A-33E087A27ED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8" name="TextBox 1">
          <a:extLst>
            <a:ext uri="{FF2B5EF4-FFF2-40B4-BE49-F238E27FC236}">
              <a16:creationId xmlns:a16="http://schemas.microsoft.com/office/drawing/2014/main" id="{21092E60-C955-449A-9BB0-1D92121AB94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19" name="TextBox 1">
          <a:extLst>
            <a:ext uri="{FF2B5EF4-FFF2-40B4-BE49-F238E27FC236}">
              <a16:creationId xmlns:a16="http://schemas.microsoft.com/office/drawing/2014/main" id="{63B8C1C7-95BE-47F9-9321-9F56614F103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0" name="TextBox 2919">
          <a:extLst>
            <a:ext uri="{FF2B5EF4-FFF2-40B4-BE49-F238E27FC236}">
              <a16:creationId xmlns:a16="http://schemas.microsoft.com/office/drawing/2014/main" id="{65E805C8-7982-472E-B1A1-5589BEBDFF3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1" name="TextBox 2920">
          <a:extLst>
            <a:ext uri="{FF2B5EF4-FFF2-40B4-BE49-F238E27FC236}">
              <a16:creationId xmlns:a16="http://schemas.microsoft.com/office/drawing/2014/main" id="{DEDCE341-C252-429C-B22E-67E69959A58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2" name="TextBox 1">
          <a:extLst>
            <a:ext uri="{FF2B5EF4-FFF2-40B4-BE49-F238E27FC236}">
              <a16:creationId xmlns:a16="http://schemas.microsoft.com/office/drawing/2014/main" id="{A99D064E-B781-4C97-9307-5B1AC1E12C8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3" name="TextBox 1">
          <a:extLst>
            <a:ext uri="{FF2B5EF4-FFF2-40B4-BE49-F238E27FC236}">
              <a16:creationId xmlns:a16="http://schemas.microsoft.com/office/drawing/2014/main" id="{82FC2706-5AC0-4040-BA95-D5ADA088439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4" name="TextBox 2923">
          <a:extLst>
            <a:ext uri="{FF2B5EF4-FFF2-40B4-BE49-F238E27FC236}">
              <a16:creationId xmlns:a16="http://schemas.microsoft.com/office/drawing/2014/main" id="{1F1616D6-9388-40AA-BCFB-0BD5D658F4D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5" name="TextBox 2924">
          <a:extLst>
            <a:ext uri="{FF2B5EF4-FFF2-40B4-BE49-F238E27FC236}">
              <a16:creationId xmlns:a16="http://schemas.microsoft.com/office/drawing/2014/main" id="{E57F1C86-5ED2-4C4F-91B6-8E630D88FC6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6" name="TextBox 1">
          <a:extLst>
            <a:ext uri="{FF2B5EF4-FFF2-40B4-BE49-F238E27FC236}">
              <a16:creationId xmlns:a16="http://schemas.microsoft.com/office/drawing/2014/main" id="{105DF34D-921D-4BA1-B04F-BB5E926D4F1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7" name="TextBox 1">
          <a:extLst>
            <a:ext uri="{FF2B5EF4-FFF2-40B4-BE49-F238E27FC236}">
              <a16:creationId xmlns:a16="http://schemas.microsoft.com/office/drawing/2014/main" id="{F08C1D79-D5C8-4D2C-AB3F-89529597C67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8" name="TextBox 2927">
          <a:extLst>
            <a:ext uri="{FF2B5EF4-FFF2-40B4-BE49-F238E27FC236}">
              <a16:creationId xmlns:a16="http://schemas.microsoft.com/office/drawing/2014/main" id="{F7B16ECD-0DC9-4BA5-8DF0-9F23CBA3B2C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29" name="TextBox 1">
          <a:extLst>
            <a:ext uri="{FF2B5EF4-FFF2-40B4-BE49-F238E27FC236}">
              <a16:creationId xmlns:a16="http://schemas.microsoft.com/office/drawing/2014/main" id="{23DA0264-5EBA-49F9-BF0C-F5D233D167E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0" name="TextBox 1">
          <a:extLst>
            <a:ext uri="{FF2B5EF4-FFF2-40B4-BE49-F238E27FC236}">
              <a16:creationId xmlns:a16="http://schemas.microsoft.com/office/drawing/2014/main" id="{432BB3EB-AD46-464F-9475-0AC35E8452D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1" name="TextBox 2930">
          <a:extLst>
            <a:ext uri="{FF2B5EF4-FFF2-40B4-BE49-F238E27FC236}">
              <a16:creationId xmlns:a16="http://schemas.microsoft.com/office/drawing/2014/main" id="{B1A9B526-34AC-4DA6-B757-34DAD4CBED9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2" name="TextBox 1">
          <a:extLst>
            <a:ext uri="{FF2B5EF4-FFF2-40B4-BE49-F238E27FC236}">
              <a16:creationId xmlns:a16="http://schemas.microsoft.com/office/drawing/2014/main" id="{A5D7984B-98A5-4992-BF56-91D67366C82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3" name="TextBox 2932">
          <a:extLst>
            <a:ext uri="{FF2B5EF4-FFF2-40B4-BE49-F238E27FC236}">
              <a16:creationId xmlns:a16="http://schemas.microsoft.com/office/drawing/2014/main" id="{B9D69ECD-2D95-48EF-9363-C4E07265EC4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4" name="TextBox 1">
          <a:extLst>
            <a:ext uri="{FF2B5EF4-FFF2-40B4-BE49-F238E27FC236}">
              <a16:creationId xmlns:a16="http://schemas.microsoft.com/office/drawing/2014/main" id="{3598D403-BDB5-437F-8140-D38D0D02E47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5" name="TextBox 1">
          <a:extLst>
            <a:ext uri="{FF2B5EF4-FFF2-40B4-BE49-F238E27FC236}">
              <a16:creationId xmlns:a16="http://schemas.microsoft.com/office/drawing/2014/main" id="{3044190C-1B90-49A0-9E8B-7F0556233B9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6" name="TextBox 2935">
          <a:extLst>
            <a:ext uri="{FF2B5EF4-FFF2-40B4-BE49-F238E27FC236}">
              <a16:creationId xmlns:a16="http://schemas.microsoft.com/office/drawing/2014/main" id="{2891EDF9-48A5-41B3-B937-226174EECE4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7" name="TextBox 2936">
          <a:extLst>
            <a:ext uri="{FF2B5EF4-FFF2-40B4-BE49-F238E27FC236}">
              <a16:creationId xmlns:a16="http://schemas.microsoft.com/office/drawing/2014/main" id="{4C856A1D-DB7E-4459-A734-6E02C49237E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8" name="TextBox 1">
          <a:extLst>
            <a:ext uri="{FF2B5EF4-FFF2-40B4-BE49-F238E27FC236}">
              <a16:creationId xmlns:a16="http://schemas.microsoft.com/office/drawing/2014/main" id="{3EC71F67-F688-4210-95CB-02492849465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39" name="TextBox 1">
          <a:extLst>
            <a:ext uri="{FF2B5EF4-FFF2-40B4-BE49-F238E27FC236}">
              <a16:creationId xmlns:a16="http://schemas.microsoft.com/office/drawing/2014/main" id="{09C3932C-CDF9-4FB6-84E7-F47016E3C72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0" name="TextBox 2939">
          <a:extLst>
            <a:ext uri="{FF2B5EF4-FFF2-40B4-BE49-F238E27FC236}">
              <a16:creationId xmlns:a16="http://schemas.microsoft.com/office/drawing/2014/main" id="{515FC2CB-4938-4E06-93B4-4E5B3CB3016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1" name="TextBox 2940">
          <a:extLst>
            <a:ext uri="{FF2B5EF4-FFF2-40B4-BE49-F238E27FC236}">
              <a16:creationId xmlns:a16="http://schemas.microsoft.com/office/drawing/2014/main" id="{5EDA33C1-F61F-44AE-B610-F0BC6A7FE75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2" name="TextBox 2941">
          <a:extLst>
            <a:ext uri="{FF2B5EF4-FFF2-40B4-BE49-F238E27FC236}">
              <a16:creationId xmlns:a16="http://schemas.microsoft.com/office/drawing/2014/main" id="{33633C39-FFE0-451E-B0BF-1889EE4395A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3" name="TextBox 1">
          <a:extLst>
            <a:ext uri="{FF2B5EF4-FFF2-40B4-BE49-F238E27FC236}">
              <a16:creationId xmlns:a16="http://schemas.microsoft.com/office/drawing/2014/main" id="{B988CA8A-C7B5-4B8C-A200-B0F519B90CD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4" name="TextBox 1">
          <a:extLst>
            <a:ext uri="{FF2B5EF4-FFF2-40B4-BE49-F238E27FC236}">
              <a16:creationId xmlns:a16="http://schemas.microsoft.com/office/drawing/2014/main" id="{81EC5A34-B4F3-4DC1-8E48-471144960FD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5" name="TextBox 2944">
          <a:extLst>
            <a:ext uri="{FF2B5EF4-FFF2-40B4-BE49-F238E27FC236}">
              <a16:creationId xmlns:a16="http://schemas.microsoft.com/office/drawing/2014/main" id="{554F543E-38AA-4301-83E5-FBC08430568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6" name="TextBox 2945">
          <a:extLst>
            <a:ext uri="{FF2B5EF4-FFF2-40B4-BE49-F238E27FC236}">
              <a16:creationId xmlns:a16="http://schemas.microsoft.com/office/drawing/2014/main" id="{4CE487B8-FEAD-43EC-8956-118A030F062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7" name="TextBox 1">
          <a:extLst>
            <a:ext uri="{FF2B5EF4-FFF2-40B4-BE49-F238E27FC236}">
              <a16:creationId xmlns:a16="http://schemas.microsoft.com/office/drawing/2014/main" id="{F78D8E3A-FA10-4EDF-ADCC-A0C9824574D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8" name="TextBox 1">
          <a:extLst>
            <a:ext uri="{FF2B5EF4-FFF2-40B4-BE49-F238E27FC236}">
              <a16:creationId xmlns:a16="http://schemas.microsoft.com/office/drawing/2014/main" id="{4C53BF68-F466-43D4-8A52-13B43B41370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49" name="TextBox 2948">
          <a:extLst>
            <a:ext uri="{FF2B5EF4-FFF2-40B4-BE49-F238E27FC236}">
              <a16:creationId xmlns:a16="http://schemas.microsoft.com/office/drawing/2014/main" id="{A5ED84A5-4520-4DD6-823C-93265966623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0" name="TextBox 2949">
          <a:extLst>
            <a:ext uri="{FF2B5EF4-FFF2-40B4-BE49-F238E27FC236}">
              <a16:creationId xmlns:a16="http://schemas.microsoft.com/office/drawing/2014/main" id="{E0A23922-08A9-4A17-95B5-50A45BB1FDF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1" name="TextBox 1">
          <a:extLst>
            <a:ext uri="{FF2B5EF4-FFF2-40B4-BE49-F238E27FC236}">
              <a16:creationId xmlns:a16="http://schemas.microsoft.com/office/drawing/2014/main" id="{9B213ACC-3F83-44D7-9735-4304A3181AB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2" name="TextBox 1">
          <a:extLst>
            <a:ext uri="{FF2B5EF4-FFF2-40B4-BE49-F238E27FC236}">
              <a16:creationId xmlns:a16="http://schemas.microsoft.com/office/drawing/2014/main" id="{9712C87F-842B-40BA-BA10-1F4706EF23E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3" name="TextBox 2952">
          <a:extLst>
            <a:ext uri="{FF2B5EF4-FFF2-40B4-BE49-F238E27FC236}">
              <a16:creationId xmlns:a16="http://schemas.microsoft.com/office/drawing/2014/main" id="{F2024394-B769-4AC8-AD6B-405B23E9DA2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4" name="TextBox 2953">
          <a:extLst>
            <a:ext uri="{FF2B5EF4-FFF2-40B4-BE49-F238E27FC236}">
              <a16:creationId xmlns:a16="http://schemas.microsoft.com/office/drawing/2014/main" id="{7F503E61-F7A6-4DC3-A827-4ADF29ACE0A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5" name="TextBox 1">
          <a:extLst>
            <a:ext uri="{FF2B5EF4-FFF2-40B4-BE49-F238E27FC236}">
              <a16:creationId xmlns:a16="http://schemas.microsoft.com/office/drawing/2014/main" id="{88D490A0-5B23-4087-A2EC-085B24B3E1A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6" name="TextBox 1">
          <a:extLst>
            <a:ext uri="{FF2B5EF4-FFF2-40B4-BE49-F238E27FC236}">
              <a16:creationId xmlns:a16="http://schemas.microsoft.com/office/drawing/2014/main" id="{30922EC6-7692-481C-94B1-6941B813B56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7" name="TextBox 2956">
          <a:extLst>
            <a:ext uri="{FF2B5EF4-FFF2-40B4-BE49-F238E27FC236}">
              <a16:creationId xmlns:a16="http://schemas.microsoft.com/office/drawing/2014/main" id="{7C4FE8AF-CCE8-4635-97A9-C81C6402175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8" name="TextBox 2957">
          <a:extLst>
            <a:ext uri="{FF2B5EF4-FFF2-40B4-BE49-F238E27FC236}">
              <a16:creationId xmlns:a16="http://schemas.microsoft.com/office/drawing/2014/main" id="{2533FA68-14E6-4E6A-9B51-819E268E48B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59" name="TextBox 1">
          <a:extLst>
            <a:ext uri="{FF2B5EF4-FFF2-40B4-BE49-F238E27FC236}">
              <a16:creationId xmlns:a16="http://schemas.microsoft.com/office/drawing/2014/main" id="{7235B728-F01E-4F96-9F7A-8F9CBE46230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0" name="TextBox 1">
          <a:extLst>
            <a:ext uri="{FF2B5EF4-FFF2-40B4-BE49-F238E27FC236}">
              <a16:creationId xmlns:a16="http://schemas.microsoft.com/office/drawing/2014/main" id="{A9E66F48-1E99-4CE6-9AAF-B0F10F3D21F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1" name="TextBox 2960">
          <a:extLst>
            <a:ext uri="{FF2B5EF4-FFF2-40B4-BE49-F238E27FC236}">
              <a16:creationId xmlns:a16="http://schemas.microsoft.com/office/drawing/2014/main" id="{D96D6781-9F8E-4BF5-AFA8-8E6FCCB5099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2" name="TextBox 2961">
          <a:extLst>
            <a:ext uri="{FF2B5EF4-FFF2-40B4-BE49-F238E27FC236}">
              <a16:creationId xmlns:a16="http://schemas.microsoft.com/office/drawing/2014/main" id="{7722CAE6-140E-4AFB-99B7-C1CCA81610F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3" name="TextBox 1">
          <a:extLst>
            <a:ext uri="{FF2B5EF4-FFF2-40B4-BE49-F238E27FC236}">
              <a16:creationId xmlns:a16="http://schemas.microsoft.com/office/drawing/2014/main" id="{8CF0E9BB-A8E1-434B-B00A-EF33154B7FD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4" name="TextBox 1">
          <a:extLst>
            <a:ext uri="{FF2B5EF4-FFF2-40B4-BE49-F238E27FC236}">
              <a16:creationId xmlns:a16="http://schemas.microsoft.com/office/drawing/2014/main" id="{308B71EC-34BD-47D1-A57A-8F358A0036C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5" name="TextBox 2964">
          <a:extLst>
            <a:ext uri="{FF2B5EF4-FFF2-40B4-BE49-F238E27FC236}">
              <a16:creationId xmlns:a16="http://schemas.microsoft.com/office/drawing/2014/main" id="{7AFF44B4-D66A-45F1-9473-3EF2FD61D0B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6" name="TextBox 2965">
          <a:extLst>
            <a:ext uri="{FF2B5EF4-FFF2-40B4-BE49-F238E27FC236}">
              <a16:creationId xmlns:a16="http://schemas.microsoft.com/office/drawing/2014/main" id="{BEA0B6D0-8B58-40DA-AC6D-3A70E2E3FF6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7" name="TextBox 1">
          <a:extLst>
            <a:ext uri="{FF2B5EF4-FFF2-40B4-BE49-F238E27FC236}">
              <a16:creationId xmlns:a16="http://schemas.microsoft.com/office/drawing/2014/main" id="{8DB80E09-6A3E-4A3A-9531-9322ACB2EB3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8" name="TextBox 1">
          <a:extLst>
            <a:ext uri="{FF2B5EF4-FFF2-40B4-BE49-F238E27FC236}">
              <a16:creationId xmlns:a16="http://schemas.microsoft.com/office/drawing/2014/main" id="{32013F98-F49B-4AB6-98B1-FB672CE0145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69" name="TextBox 2968">
          <a:extLst>
            <a:ext uri="{FF2B5EF4-FFF2-40B4-BE49-F238E27FC236}">
              <a16:creationId xmlns:a16="http://schemas.microsoft.com/office/drawing/2014/main" id="{FFECCA51-DEDD-4444-9E6A-5337BA8B96E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0" name="TextBox 2969">
          <a:extLst>
            <a:ext uri="{FF2B5EF4-FFF2-40B4-BE49-F238E27FC236}">
              <a16:creationId xmlns:a16="http://schemas.microsoft.com/office/drawing/2014/main" id="{FBB25F5E-BCAE-47EB-8531-1CE646D96AD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1" name="TextBox 1">
          <a:extLst>
            <a:ext uri="{FF2B5EF4-FFF2-40B4-BE49-F238E27FC236}">
              <a16:creationId xmlns:a16="http://schemas.microsoft.com/office/drawing/2014/main" id="{7E0C4946-9201-4385-A95D-435891243AE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2" name="TextBox 1">
          <a:extLst>
            <a:ext uri="{FF2B5EF4-FFF2-40B4-BE49-F238E27FC236}">
              <a16:creationId xmlns:a16="http://schemas.microsoft.com/office/drawing/2014/main" id="{C385E96A-10D2-4749-BE16-697EBEA3EFA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3" name="TextBox 2972">
          <a:extLst>
            <a:ext uri="{FF2B5EF4-FFF2-40B4-BE49-F238E27FC236}">
              <a16:creationId xmlns:a16="http://schemas.microsoft.com/office/drawing/2014/main" id="{EF3D030F-4253-40D3-B4F4-F2620F44485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4" name="TextBox 2973">
          <a:extLst>
            <a:ext uri="{FF2B5EF4-FFF2-40B4-BE49-F238E27FC236}">
              <a16:creationId xmlns:a16="http://schemas.microsoft.com/office/drawing/2014/main" id="{AF4B9ADF-0369-4278-A241-5EF4615E6F1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5" name="TextBox 1">
          <a:extLst>
            <a:ext uri="{FF2B5EF4-FFF2-40B4-BE49-F238E27FC236}">
              <a16:creationId xmlns:a16="http://schemas.microsoft.com/office/drawing/2014/main" id="{85AB2014-0F93-40F6-89B3-7FCB643B192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6" name="TextBox 1">
          <a:extLst>
            <a:ext uri="{FF2B5EF4-FFF2-40B4-BE49-F238E27FC236}">
              <a16:creationId xmlns:a16="http://schemas.microsoft.com/office/drawing/2014/main" id="{238A87CF-8159-47CA-B744-FDBBC4BA8A7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7" name="TextBox 2976">
          <a:extLst>
            <a:ext uri="{FF2B5EF4-FFF2-40B4-BE49-F238E27FC236}">
              <a16:creationId xmlns:a16="http://schemas.microsoft.com/office/drawing/2014/main" id="{4688160D-CCBE-4146-B8AC-6370500E59E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8" name="TextBox 2977">
          <a:extLst>
            <a:ext uri="{FF2B5EF4-FFF2-40B4-BE49-F238E27FC236}">
              <a16:creationId xmlns:a16="http://schemas.microsoft.com/office/drawing/2014/main" id="{6B354440-9701-4F04-928C-E363FD1CB75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79" name="TextBox 2978">
          <a:extLst>
            <a:ext uri="{FF2B5EF4-FFF2-40B4-BE49-F238E27FC236}">
              <a16:creationId xmlns:a16="http://schemas.microsoft.com/office/drawing/2014/main" id="{FD1F022D-80CE-4A07-9535-84EB718E33F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0" name="TextBox 1">
          <a:extLst>
            <a:ext uri="{FF2B5EF4-FFF2-40B4-BE49-F238E27FC236}">
              <a16:creationId xmlns:a16="http://schemas.microsoft.com/office/drawing/2014/main" id="{AFC28B06-782F-4D6F-A1B9-16B136C4DB8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1" name="TextBox 1">
          <a:extLst>
            <a:ext uri="{FF2B5EF4-FFF2-40B4-BE49-F238E27FC236}">
              <a16:creationId xmlns:a16="http://schemas.microsoft.com/office/drawing/2014/main" id="{D76B7910-0B81-403A-A409-73D76CFD8B6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2" name="TextBox 2981">
          <a:extLst>
            <a:ext uri="{FF2B5EF4-FFF2-40B4-BE49-F238E27FC236}">
              <a16:creationId xmlns:a16="http://schemas.microsoft.com/office/drawing/2014/main" id="{287DDF4D-F008-44CF-96F8-7E0F5C18CAE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3" name="TextBox 2982">
          <a:extLst>
            <a:ext uri="{FF2B5EF4-FFF2-40B4-BE49-F238E27FC236}">
              <a16:creationId xmlns:a16="http://schemas.microsoft.com/office/drawing/2014/main" id="{9C762F64-0277-4A7E-ADF7-42B5E94DFB1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4" name="TextBox 1">
          <a:extLst>
            <a:ext uri="{FF2B5EF4-FFF2-40B4-BE49-F238E27FC236}">
              <a16:creationId xmlns:a16="http://schemas.microsoft.com/office/drawing/2014/main" id="{CC41FA62-4131-437B-8883-84239BF1D9A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5" name="TextBox 1">
          <a:extLst>
            <a:ext uri="{FF2B5EF4-FFF2-40B4-BE49-F238E27FC236}">
              <a16:creationId xmlns:a16="http://schemas.microsoft.com/office/drawing/2014/main" id="{A85C80CC-253E-4472-A9EF-8005063AE7E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6" name="TextBox 2985">
          <a:extLst>
            <a:ext uri="{FF2B5EF4-FFF2-40B4-BE49-F238E27FC236}">
              <a16:creationId xmlns:a16="http://schemas.microsoft.com/office/drawing/2014/main" id="{B8354884-39CD-4861-9E28-BB0023BA9D9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7" name="TextBox 2986">
          <a:extLst>
            <a:ext uri="{FF2B5EF4-FFF2-40B4-BE49-F238E27FC236}">
              <a16:creationId xmlns:a16="http://schemas.microsoft.com/office/drawing/2014/main" id="{E7933BAA-C8E4-41EC-BE0B-32CB3FF6525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8" name="TextBox 1">
          <a:extLst>
            <a:ext uri="{FF2B5EF4-FFF2-40B4-BE49-F238E27FC236}">
              <a16:creationId xmlns:a16="http://schemas.microsoft.com/office/drawing/2014/main" id="{0170977C-B03A-4153-A16C-6E05702C89A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89" name="TextBox 1">
          <a:extLst>
            <a:ext uri="{FF2B5EF4-FFF2-40B4-BE49-F238E27FC236}">
              <a16:creationId xmlns:a16="http://schemas.microsoft.com/office/drawing/2014/main" id="{8C16411E-6D95-4054-8530-79816AA2338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0" name="TextBox 2989">
          <a:extLst>
            <a:ext uri="{FF2B5EF4-FFF2-40B4-BE49-F238E27FC236}">
              <a16:creationId xmlns:a16="http://schemas.microsoft.com/office/drawing/2014/main" id="{5108F3B8-D36C-4BA5-86BC-8D5CAA1BB1D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1" name="TextBox 2990">
          <a:extLst>
            <a:ext uri="{FF2B5EF4-FFF2-40B4-BE49-F238E27FC236}">
              <a16:creationId xmlns:a16="http://schemas.microsoft.com/office/drawing/2014/main" id="{C5E6F6EE-9AA8-42CD-9EE6-9E383D12887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2" name="TextBox 1">
          <a:extLst>
            <a:ext uri="{FF2B5EF4-FFF2-40B4-BE49-F238E27FC236}">
              <a16:creationId xmlns:a16="http://schemas.microsoft.com/office/drawing/2014/main" id="{9EED39C8-F311-41DE-9AF5-2143208B508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3" name="TextBox 1">
          <a:extLst>
            <a:ext uri="{FF2B5EF4-FFF2-40B4-BE49-F238E27FC236}">
              <a16:creationId xmlns:a16="http://schemas.microsoft.com/office/drawing/2014/main" id="{BAED3594-70E4-4764-BFDB-F800550584A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4" name="TextBox 2993">
          <a:extLst>
            <a:ext uri="{FF2B5EF4-FFF2-40B4-BE49-F238E27FC236}">
              <a16:creationId xmlns:a16="http://schemas.microsoft.com/office/drawing/2014/main" id="{6F3F395D-8A86-4D50-BE05-C1E8BF527AA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5" name="TextBox 2994">
          <a:extLst>
            <a:ext uri="{FF2B5EF4-FFF2-40B4-BE49-F238E27FC236}">
              <a16:creationId xmlns:a16="http://schemas.microsoft.com/office/drawing/2014/main" id="{8B85B2E5-AB17-400E-AC67-152D6082E72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6" name="TextBox 1">
          <a:extLst>
            <a:ext uri="{FF2B5EF4-FFF2-40B4-BE49-F238E27FC236}">
              <a16:creationId xmlns:a16="http://schemas.microsoft.com/office/drawing/2014/main" id="{A0CBB6C5-AE60-4DF8-8FA9-D52FCA8E71F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7" name="TextBox 1">
          <a:extLst>
            <a:ext uri="{FF2B5EF4-FFF2-40B4-BE49-F238E27FC236}">
              <a16:creationId xmlns:a16="http://schemas.microsoft.com/office/drawing/2014/main" id="{33803984-8CBA-4634-9530-E7962E5B701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8" name="TextBox 2997">
          <a:extLst>
            <a:ext uri="{FF2B5EF4-FFF2-40B4-BE49-F238E27FC236}">
              <a16:creationId xmlns:a16="http://schemas.microsoft.com/office/drawing/2014/main" id="{92C9B145-5E7B-4EAE-B3BA-D1BDB127199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2999" name="TextBox 2998">
          <a:extLst>
            <a:ext uri="{FF2B5EF4-FFF2-40B4-BE49-F238E27FC236}">
              <a16:creationId xmlns:a16="http://schemas.microsoft.com/office/drawing/2014/main" id="{2435A785-63D4-4B39-92BC-7E6736E56DB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0" name="TextBox 1">
          <a:extLst>
            <a:ext uri="{FF2B5EF4-FFF2-40B4-BE49-F238E27FC236}">
              <a16:creationId xmlns:a16="http://schemas.microsoft.com/office/drawing/2014/main" id="{C6F254C3-35C9-494D-ABFD-BB6AB4DB0FB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1" name="TextBox 1">
          <a:extLst>
            <a:ext uri="{FF2B5EF4-FFF2-40B4-BE49-F238E27FC236}">
              <a16:creationId xmlns:a16="http://schemas.microsoft.com/office/drawing/2014/main" id="{C102F53B-00A6-48F6-937C-56F8F1BEA24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2" name="TextBox 3001">
          <a:extLst>
            <a:ext uri="{FF2B5EF4-FFF2-40B4-BE49-F238E27FC236}">
              <a16:creationId xmlns:a16="http://schemas.microsoft.com/office/drawing/2014/main" id="{1E99F7CD-9831-43D6-8B09-8AB8977D44C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3" name="TextBox 3002">
          <a:extLst>
            <a:ext uri="{FF2B5EF4-FFF2-40B4-BE49-F238E27FC236}">
              <a16:creationId xmlns:a16="http://schemas.microsoft.com/office/drawing/2014/main" id="{97067D75-E9FC-4B9B-ACEE-1081D4F08F1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4" name="TextBox 1">
          <a:extLst>
            <a:ext uri="{FF2B5EF4-FFF2-40B4-BE49-F238E27FC236}">
              <a16:creationId xmlns:a16="http://schemas.microsoft.com/office/drawing/2014/main" id="{40EA4E09-27A9-4AF7-BB10-22704679B88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5" name="TextBox 1">
          <a:extLst>
            <a:ext uri="{FF2B5EF4-FFF2-40B4-BE49-F238E27FC236}">
              <a16:creationId xmlns:a16="http://schemas.microsoft.com/office/drawing/2014/main" id="{2E34F3F4-6A02-4B0A-9C4A-13023EE7C40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6" name="TextBox 3005">
          <a:extLst>
            <a:ext uri="{FF2B5EF4-FFF2-40B4-BE49-F238E27FC236}">
              <a16:creationId xmlns:a16="http://schemas.microsoft.com/office/drawing/2014/main" id="{4A7E7F92-6518-455F-90B5-F5247163ABA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7" name="TextBox 3006">
          <a:extLst>
            <a:ext uri="{FF2B5EF4-FFF2-40B4-BE49-F238E27FC236}">
              <a16:creationId xmlns:a16="http://schemas.microsoft.com/office/drawing/2014/main" id="{987D8DC9-C9DD-4DC9-AEA9-256186A5672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8" name="TextBox 1">
          <a:extLst>
            <a:ext uri="{FF2B5EF4-FFF2-40B4-BE49-F238E27FC236}">
              <a16:creationId xmlns:a16="http://schemas.microsoft.com/office/drawing/2014/main" id="{39E6C1A8-837C-46E5-A29E-AD2821A279E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09" name="TextBox 1">
          <a:extLst>
            <a:ext uri="{FF2B5EF4-FFF2-40B4-BE49-F238E27FC236}">
              <a16:creationId xmlns:a16="http://schemas.microsoft.com/office/drawing/2014/main" id="{0036D8B8-A875-45ED-8E56-E0E9EAA01BA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0" name="TextBox 3009">
          <a:extLst>
            <a:ext uri="{FF2B5EF4-FFF2-40B4-BE49-F238E27FC236}">
              <a16:creationId xmlns:a16="http://schemas.microsoft.com/office/drawing/2014/main" id="{4D5941F3-BE0B-4A1E-AD92-09A17D0C699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1" name="TextBox 3010">
          <a:extLst>
            <a:ext uri="{FF2B5EF4-FFF2-40B4-BE49-F238E27FC236}">
              <a16:creationId xmlns:a16="http://schemas.microsoft.com/office/drawing/2014/main" id="{B002D053-37B8-464A-AADE-890AB12A3F2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2" name="TextBox 1">
          <a:extLst>
            <a:ext uri="{FF2B5EF4-FFF2-40B4-BE49-F238E27FC236}">
              <a16:creationId xmlns:a16="http://schemas.microsoft.com/office/drawing/2014/main" id="{78E03D68-3F02-4835-BA68-0828BF31FB5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3" name="TextBox 1">
          <a:extLst>
            <a:ext uri="{FF2B5EF4-FFF2-40B4-BE49-F238E27FC236}">
              <a16:creationId xmlns:a16="http://schemas.microsoft.com/office/drawing/2014/main" id="{AA1DBDEE-C385-475B-833E-E3DF9E7C15B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4" name="TextBox 3013">
          <a:extLst>
            <a:ext uri="{FF2B5EF4-FFF2-40B4-BE49-F238E27FC236}">
              <a16:creationId xmlns:a16="http://schemas.microsoft.com/office/drawing/2014/main" id="{B5C682D3-3109-4CB7-8035-8F3F07C637A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5" name="TextBox 3014">
          <a:extLst>
            <a:ext uri="{FF2B5EF4-FFF2-40B4-BE49-F238E27FC236}">
              <a16:creationId xmlns:a16="http://schemas.microsoft.com/office/drawing/2014/main" id="{B794B53A-22E8-45BB-8EE1-26AEB11171C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6" name="TextBox 1">
          <a:extLst>
            <a:ext uri="{FF2B5EF4-FFF2-40B4-BE49-F238E27FC236}">
              <a16:creationId xmlns:a16="http://schemas.microsoft.com/office/drawing/2014/main" id="{C5F62AB5-DDB6-441A-96DF-0CAAB5CCD8B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7" name="TextBox 1">
          <a:extLst>
            <a:ext uri="{FF2B5EF4-FFF2-40B4-BE49-F238E27FC236}">
              <a16:creationId xmlns:a16="http://schemas.microsoft.com/office/drawing/2014/main" id="{58FCC181-2314-425C-A1D0-CF5AA996EE4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8" name="TextBox 3017">
          <a:extLst>
            <a:ext uri="{FF2B5EF4-FFF2-40B4-BE49-F238E27FC236}">
              <a16:creationId xmlns:a16="http://schemas.microsoft.com/office/drawing/2014/main" id="{CA8E67DE-A2CB-48EA-B7F2-B7E27703FDC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19" name="TextBox 3018">
          <a:extLst>
            <a:ext uri="{FF2B5EF4-FFF2-40B4-BE49-F238E27FC236}">
              <a16:creationId xmlns:a16="http://schemas.microsoft.com/office/drawing/2014/main" id="{81B143D2-85B7-4742-8A58-97C1F990212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0" name="TextBox 1">
          <a:extLst>
            <a:ext uri="{FF2B5EF4-FFF2-40B4-BE49-F238E27FC236}">
              <a16:creationId xmlns:a16="http://schemas.microsoft.com/office/drawing/2014/main" id="{801E1C0F-B59D-434A-ABA7-CFEE44FD8D7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1" name="TextBox 1">
          <a:extLst>
            <a:ext uri="{FF2B5EF4-FFF2-40B4-BE49-F238E27FC236}">
              <a16:creationId xmlns:a16="http://schemas.microsoft.com/office/drawing/2014/main" id="{7B343C0B-8CCB-4ACE-9CBE-9DE96AD1EE7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2" name="TextBox 3021">
          <a:extLst>
            <a:ext uri="{FF2B5EF4-FFF2-40B4-BE49-F238E27FC236}">
              <a16:creationId xmlns:a16="http://schemas.microsoft.com/office/drawing/2014/main" id="{4A3614E2-3B29-4386-8F36-4A0C9610469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3" name="TextBox 3022">
          <a:extLst>
            <a:ext uri="{FF2B5EF4-FFF2-40B4-BE49-F238E27FC236}">
              <a16:creationId xmlns:a16="http://schemas.microsoft.com/office/drawing/2014/main" id="{F42DF7E7-2BBA-40A0-94BC-169CC2F2B3C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4" name="TextBox 3023">
          <a:extLst>
            <a:ext uri="{FF2B5EF4-FFF2-40B4-BE49-F238E27FC236}">
              <a16:creationId xmlns:a16="http://schemas.microsoft.com/office/drawing/2014/main" id="{5BD93AED-6E5A-439A-8E7F-7FDCF309BB2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5" name="TextBox 1">
          <a:extLst>
            <a:ext uri="{FF2B5EF4-FFF2-40B4-BE49-F238E27FC236}">
              <a16:creationId xmlns:a16="http://schemas.microsoft.com/office/drawing/2014/main" id="{17FC557F-D655-4FBA-966F-2E0875A6FB2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6" name="TextBox 1">
          <a:extLst>
            <a:ext uri="{FF2B5EF4-FFF2-40B4-BE49-F238E27FC236}">
              <a16:creationId xmlns:a16="http://schemas.microsoft.com/office/drawing/2014/main" id="{DFF6D91F-D412-444D-AB79-3C9CC72CFD3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7" name="TextBox 3026">
          <a:extLst>
            <a:ext uri="{FF2B5EF4-FFF2-40B4-BE49-F238E27FC236}">
              <a16:creationId xmlns:a16="http://schemas.microsoft.com/office/drawing/2014/main" id="{DFC6FC70-9F46-4E0A-8FAF-3265CE09B55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8" name="TextBox 3027">
          <a:extLst>
            <a:ext uri="{FF2B5EF4-FFF2-40B4-BE49-F238E27FC236}">
              <a16:creationId xmlns:a16="http://schemas.microsoft.com/office/drawing/2014/main" id="{17E57F70-6EC3-4AE1-B667-12D4714BE9B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29" name="TextBox 1">
          <a:extLst>
            <a:ext uri="{FF2B5EF4-FFF2-40B4-BE49-F238E27FC236}">
              <a16:creationId xmlns:a16="http://schemas.microsoft.com/office/drawing/2014/main" id="{9512C44C-6712-4C9C-AFA2-B89F84B5607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0" name="TextBox 1">
          <a:extLst>
            <a:ext uri="{FF2B5EF4-FFF2-40B4-BE49-F238E27FC236}">
              <a16:creationId xmlns:a16="http://schemas.microsoft.com/office/drawing/2014/main" id="{1B212174-79AC-4D99-9986-819A657F517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1" name="TextBox 3030">
          <a:extLst>
            <a:ext uri="{FF2B5EF4-FFF2-40B4-BE49-F238E27FC236}">
              <a16:creationId xmlns:a16="http://schemas.microsoft.com/office/drawing/2014/main" id="{B1218DDB-79DA-4BB6-88D3-5FD4E63FD33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2" name="TextBox 3031">
          <a:extLst>
            <a:ext uri="{FF2B5EF4-FFF2-40B4-BE49-F238E27FC236}">
              <a16:creationId xmlns:a16="http://schemas.microsoft.com/office/drawing/2014/main" id="{379B424F-8B27-4AB2-AE64-B83F4CFC97A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3" name="TextBox 1">
          <a:extLst>
            <a:ext uri="{FF2B5EF4-FFF2-40B4-BE49-F238E27FC236}">
              <a16:creationId xmlns:a16="http://schemas.microsoft.com/office/drawing/2014/main" id="{29173576-9B4F-4A90-8522-7A6900F33ED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4" name="TextBox 1">
          <a:extLst>
            <a:ext uri="{FF2B5EF4-FFF2-40B4-BE49-F238E27FC236}">
              <a16:creationId xmlns:a16="http://schemas.microsoft.com/office/drawing/2014/main" id="{7E293A58-9476-4EB9-B729-6C4A8F27AF3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5" name="TextBox 3034">
          <a:extLst>
            <a:ext uri="{FF2B5EF4-FFF2-40B4-BE49-F238E27FC236}">
              <a16:creationId xmlns:a16="http://schemas.microsoft.com/office/drawing/2014/main" id="{D869C697-20AF-4CAE-9E5A-F9650B0C2D2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6" name="TextBox 3035">
          <a:extLst>
            <a:ext uri="{FF2B5EF4-FFF2-40B4-BE49-F238E27FC236}">
              <a16:creationId xmlns:a16="http://schemas.microsoft.com/office/drawing/2014/main" id="{AF21E7E7-9451-4B57-99C1-DA83E8F624C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7" name="TextBox 1">
          <a:extLst>
            <a:ext uri="{FF2B5EF4-FFF2-40B4-BE49-F238E27FC236}">
              <a16:creationId xmlns:a16="http://schemas.microsoft.com/office/drawing/2014/main" id="{7F00DDBE-FC10-4C3E-BA98-C2948B6B12F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8" name="TextBox 1">
          <a:extLst>
            <a:ext uri="{FF2B5EF4-FFF2-40B4-BE49-F238E27FC236}">
              <a16:creationId xmlns:a16="http://schemas.microsoft.com/office/drawing/2014/main" id="{B02A43AB-877C-4E77-9434-06490DD47FD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39" name="TextBox 3038">
          <a:extLst>
            <a:ext uri="{FF2B5EF4-FFF2-40B4-BE49-F238E27FC236}">
              <a16:creationId xmlns:a16="http://schemas.microsoft.com/office/drawing/2014/main" id="{A3D5A1B5-B5DE-4342-926C-0ACA8F83A80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0" name="TextBox 3039">
          <a:extLst>
            <a:ext uri="{FF2B5EF4-FFF2-40B4-BE49-F238E27FC236}">
              <a16:creationId xmlns:a16="http://schemas.microsoft.com/office/drawing/2014/main" id="{7F39BC27-B24F-4361-A81A-F00C6498DB5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1" name="TextBox 1">
          <a:extLst>
            <a:ext uri="{FF2B5EF4-FFF2-40B4-BE49-F238E27FC236}">
              <a16:creationId xmlns:a16="http://schemas.microsoft.com/office/drawing/2014/main" id="{1A4C2B7A-AFA3-4E55-9FD1-355DEE8DA37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2" name="TextBox 1">
          <a:extLst>
            <a:ext uri="{FF2B5EF4-FFF2-40B4-BE49-F238E27FC236}">
              <a16:creationId xmlns:a16="http://schemas.microsoft.com/office/drawing/2014/main" id="{9BBCFD60-13F9-4D23-83EF-BC493405196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3" name="TextBox 3042">
          <a:extLst>
            <a:ext uri="{FF2B5EF4-FFF2-40B4-BE49-F238E27FC236}">
              <a16:creationId xmlns:a16="http://schemas.microsoft.com/office/drawing/2014/main" id="{A54B62C5-E134-44D7-BF4D-E3406659EF2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4" name="TextBox 3043">
          <a:extLst>
            <a:ext uri="{FF2B5EF4-FFF2-40B4-BE49-F238E27FC236}">
              <a16:creationId xmlns:a16="http://schemas.microsoft.com/office/drawing/2014/main" id="{5530FCFE-65B8-4694-850D-184426B133E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5" name="TextBox 1">
          <a:extLst>
            <a:ext uri="{FF2B5EF4-FFF2-40B4-BE49-F238E27FC236}">
              <a16:creationId xmlns:a16="http://schemas.microsoft.com/office/drawing/2014/main" id="{B757232B-F34F-4F2F-9DF5-18DC1FF3864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6" name="TextBox 1">
          <a:extLst>
            <a:ext uri="{FF2B5EF4-FFF2-40B4-BE49-F238E27FC236}">
              <a16:creationId xmlns:a16="http://schemas.microsoft.com/office/drawing/2014/main" id="{DEF84A3D-F53F-42FA-B660-47F9D4C4E6D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7" name="TextBox 3046">
          <a:extLst>
            <a:ext uri="{FF2B5EF4-FFF2-40B4-BE49-F238E27FC236}">
              <a16:creationId xmlns:a16="http://schemas.microsoft.com/office/drawing/2014/main" id="{51F359A8-7EE5-4D10-89EF-589D24EA59C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8" name="TextBox 3047">
          <a:extLst>
            <a:ext uri="{FF2B5EF4-FFF2-40B4-BE49-F238E27FC236}">
              <a16:creationId xmlns:a16="http://schemas.microsoft.com/office/drawing/2014/main" id="{852D8252-9D65-4C42-AAA3-E682B247C1A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49" name="TextBox 1">
          <a:extLst>
            <a:ext uri="{FF2B5EF4-FFF2-40B4-BE49-F238E27FC236}">
              <a16:creationId xmlns:a16="http://schemas.microsoft.com/office/drawing/2014/main" id="{1418B05A-1152-4779-93DA-C4AD5871981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0" name="TextBox 1">
          <a:extLst>
            <a:ext uri="{FF2B5EF4-FFF2-40B4-BE49-F238E27FC236}">
              <a16:creationId xmlns:a16="http://schemas.microsoft.com/office/drawing/2014/main" id="{A3690237-25BC-4B67-9CC4-F45538FE979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1" name="TextBox 3050">
          <a:extLst>
            <a:ext uri="{FF2B5EF4-FFF2-40B4-BE49-F238E27FC236}">
              <a16:creationId xmlns:a16="http://schemas.microsoft.com/office/drawing/2014/main" id="{445B85BF-E19E-4AFD-B91C-CF69D2DFD73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2" name="TextBox 3051">
          <a:extLst>
            <a:ext uri="{FF2B5EF4-FFF2-40B4-BE49-F238E27FC236}">
              <a16:creationId xmlns:a16="http://schemas.microsoft.com/office/drawing/2014/main" id="{126ACFCF-326D-4918-B94C-9E7B1CEAD8D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3" name="TextBox 1">
          <a:extLst>
            <a:ext uri="{FF2B5EF4-FFF2-40B4-BE49-F238E27FC236}">
              <a16:creationId xmlns:a16="http://schemas.microsoft.com/office/drawing/2014/main" id="{AC80F37D-83B6-4861-B515-0CA38D19782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4" name="TextBox 1">
          <a:extLst>
            <a:ext uri="{FF2B5EF4-FFF2-40B4-BE49-F238E27FC236}">
              <a16:creationId xmlns:a16="http://schemas.microsoft.com/office/drawing/2014/main" id="{68B9CB57-1591-490B-9A94-58F2334DE25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5" name="TextBox 3054">
          <a:extLst>
            <a:ext uri="{FF2B5EF4-FFF2-40B4-BE49-F238E27FC236}">
              <a16:creationId xmlns:a16="http://schemas.microsoft.com/office/drawing/2014/main" id="{5B16709D-F925-4739-A7E3-756BB586960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6" name="TextBox 3055">
          <a:extLst>
            <a:ext uri="{FF2B5EF4-FFF2-40B4-BE49-F238E27FC236}">
              <a16:creationId xmlns:a16="http://schemas.microsoft.com/office/drawing/2014/main" id="{B1CE053F-30D4-4F1B-8661-D65449A04F6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7" name="TextBox 1">
          <a:extLst>
            <a:ext uri="{FF2B5EF4-FFF2-40B4-BE49-F238E27FC236}">
              <a16:creationId xmlns:a16="http://schemas.microsoft.com/office/drawing/2014/main" id="{607B9095-0DA7-4660-95B2-9C9552468CB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8" name="TextBox 1">
          <a:extLst>
            <a:ext uri="{FF2B5EF4-FFF2-40B4-BE49-F238E27FC236}">
              <a16:creationId xmlns:a16="http://schemas.microsoft.com/office/drawing/2014/main" id="{4E2FFD12-23B5-4697-9D5E-8983C8E18C7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59" name="TextBox 3058">
          <a:extLst>
            <a:ext uri="{FF2B5EF4-FFF2-40B4-BE49-F238E27FC236}">
              <a16:creationId xmlns:a16="http://schemas.microsoft.com/office/drawing/2014/main" id="{5E6AF311-4153-4BCD-9E4D-D6A8675AEBE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0" name="TextBox 1">
          <a:extLst>
            <a:ext uri="{FF2B5EF4-FFF2-40B4-BE49-F238E27FC236}">
              <a16:creationId xmlns:a16="http://schemas.microsoft.com/office/drawing/2014/main" id="{F69E7A68-FBD5-4271-9D13-E441782B80C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1" name="TextBox 1">
          <a:extLst>
            <a:ext uri="{FF2B5EF4-FFF2-40B4-BE49-F238E27FC236}">
              <a16:creationId xmlns:a16="http://schemas.microsoft.com/office/drawing/2014/main" id="{7B34B749-0E75-4EDD-A739-50962B52CDC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2" name="TextBox 3061">
          <a:extLst>
            <a:ext uri="{FF2B5EF4-FFF2-40B4-BE49-F238E27FC236}">
              <a16:creationId xmlns:a16="http://schemas.microsoft.com/office/drawing/2014/main" id="{28BA5649-10AC-4295-A4DF-A3511FDC139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3" name="TextBox 1">
          <a:extLst>
            <a:ext uri="{FF2B5EF4-FFF2-40B4-BE49-F238E27FC236}">
              <a16:creationId xmlns:a16="http://schemas.microsoft.com/office/drawing/2014/main" id="{5AF7E2E8-6B36-4F94-8F7D-6C3D4040DAA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4" name="TextBox 3063">
          <a:extLst>
            <a:ext uri="{FF2B5EF4-FFF2-40B4-BE49-F238E27FC236}">
              <a16:creationId xmlns:a16="http://schemas.microsoft.com/office/drawing/2014/main" id="{DCCBEF3A-3D52-4A39-B2AE-F7FE596A4A4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5" name="TextBox 1">
          <a:extLst>
            <a:ext uri="{FF2B5EF4-FFF2-40B4-BE49-F238E27FC236}">
              <a16:creationId xmlns:a16="http://schemas.microsoft.com/office/drawing/2014/main" id="{0F2A562E-8EC7-4874-814B-A3EF945A698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6" name="TextBox 1">
          <a:extLst>
            <a:ext uri="{FF2B5EF4-FFF2-40B4-BE49-F238E27FC236}">
              <a16:creationId xmlns:a16="http://schemas.microsoft.com/office/drawing/2014/main" id="{73BE4BCF-9863-490E-B50A-5973813EB18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7" name="TextBox 3066">
          <a:extLst>
            <a:ext uri="{FF2B5EF4-FFF2-40B4-BE49-F238E27FC236}">
              <a16:creationId xmlns:a16="http://schemas.microsoft.com/office/drawing/2014/main" id="{002BB575-5014-4B4A-A490-802BE0A971B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8" name="TextBox 3067">
          <a:extLst>
            <a:ext uri="{FF2B5EF4-FFF2-40B4-BE49-F238E27FC236}">
              <a16:creationId xmlns:a16="http://schemas.microsoft.com/office/drawing/2014/main" id="{5DF2A45B-55C5-45BC-A328-5A66DB9603A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69" name="TextBox 1">
          <a:extLst>
            <a:ext uri="{FF2B5EF4-FFF2-40B4-BE49-F238E27FC236}">
              <a16:creationId xmlns:a16="http://schemas.microsoft.com/office/drawing/2014/main" id="{71DD4E7E-A646-4450-9B5E-A9041F6C3F5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0" name="TextBox 1">
          <a:extLst>
            <a:ext uri="{FF2B5EF4-FFF2-40B4-BE49-F238E27FC236}">
              <a16:creationId xmlns:a16="http://schemas.microsoft.com/office/drawing/2014/main" id="{1C790B00-4F09-400F-96BC-C513B830806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1" name="TextBox 3070">
          <a:extLst>
            <a:ext uri="{FF2B5EF4-FFF2-40B4-BE49-F238E27FC236}">
              <a16:creationId xmlns:a16="http://schemas.microsoft.com/office/drawing/2014/main" id="{DC235BDC-B9E1-410F-9C7D-C476CB58BF3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2" name="TextBox 3071">
          <a:extLst>
            <a:ext uri="{FF2B5EF4-FFF2-40B4-BE49-F238E27FC236}">
              <a16:creationId xmlns:a16="http://schemas.microsoft.com/office/drawing/2014/main" id="{DA5BACBB-DFCF-4570-AE81-3B90295807B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3" name="TextBox 3072">
          <a:extLst>
            <a:ext uri="{FF2B5EF4-FFF2-40B4-BE49-F238E27FC236}">
              <a16:creationId xmlns:a16="http://schemas.microsoft.com/office/drawing/2014/main" id="{BDC57E86-6A9D-4EA0-B750-C1A95EC95B1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4" name="TextBox 1">
          <a:extLst>
            <a:ext uri="{FF2B5EF4-FFF2-40B4-BE49-F238E27FC236}">
              <a16:creationId xmlns:a16="http://schemas.microsoft.com/office/drawing/2014/main" id="{0AB2B1BF-A90B-4DE4-AE04-5183572292D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5" name="TextBox 1">
          <a:extLst>
            <a:ext uri="{FF2B5EF4-FFF2-40B4-BE49-F238E27FC236}">
              <a16:creationId xmlns:a16="http://schemas.microsoft.com/office/drawing/2014/main" id="{B4E5CCE5-CF4D-4835-BE54-DA878740C5A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6" name="TextBox 3075">
          <a:extLst>
            <a:ext uri="{FF2B5EF4-FFF2-40B4-BE49-F238E27FC236}">
              <a16:creationId xmlns:a16="http://schemas.microsoft.com/office/drawing/2014/main" id="{35ED2878-1C7A-4881-9761-DFDF6ED986B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7" name="TextBox 3076">
          <a:extLst>
            <a:ext uri="{FF2B5EF4-FFF2-40B4-BE49-F238E27FC236}">
              <a16:creationId xmlns:a16="http://schemas.microsoft.com/office/drawing/2014/main" id="{9D84DF0F-1F70-4AFC-8510-D5597815BB6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8" name="TextBox 1">
          <a:extLst>
            <a:ext uri="{FF2B5EF4-FFF2-40B4-BE49-F238E27FC236}">
              <a16:creationId xmlns:a16="http://schemas.microsoft.com/office/drawing/2014/main" id="{D128E29D-82E8-4D12-9828-97BB9322071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79" name="TextBox 1">
          <a:extLst>
            <a:ext uri="{FF2B5EF4-FFF2-40B4-BE49-F238E27FC236}">
              <a16:creationId xmlns:a16="http://schemas.microsoft.com/office/drawing/2014/main" id="{90B522A7-BEFE-4E04-A4F0-9E34AC88E90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0" name="TextBox 3079">
          <a:extLst>
            <a:ext uri="{FF2B5EF4-FFF2-40B4-BE49-F238E27FC236}">
              <a16:creationId xmlns:a16="http://schemas.microsoft.com/office/drawing/2014/main" id="{CEB654FA-6584-4E02-AB60-1AF80960CC1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1" name="TextBox 3080">
          <a:extLst>
            <a:ext uri="{FF2B5EF4-FFF2-40B4-BE49-F238E27FC236}">
              <a16:creationId xmlns:a16="http://schemas.microsoft.com/office/drawing/2014/main" id="{49C94EC3-FA5C-471C-9E31-52A0FA05F90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2" name="TextBox 1">
          <a:extLst>
            <a:ext uri="{FF2B5EF4-FFF2-40B4-BE49-F238E27FC236}">
              <a16:creationId xmlns:a16="http://schemas.microsoft.com/office/drawing/2014/main" id="{15D7117D-3722-4E95-9EB8-65BCDDCF24F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3" name="TextBox 1">
          <a:extLst>
            <a:ext uri="{FF2B5EF4-FFF2-40B4-BE49-F238E27FC236}">
              <a16:creationId xmlns:a16="http://schemas.microsoft.com/office/drawing/2014/main" id="{563015FD-5F20-4099-9D49-E72B9E111A7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4" name="TextBox 3083">
          <a:extLst>
            <a:ext uri="{FF2B5EF4-FFF2-40B4-BE49-F238E27FC236}">
              <a16:creationId xmlns:a16="http://schemas.microsoft.com/office/drawing/2014/main" id="{82C50CC7-634B-46F1-9C87-EEBC8B5B81C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5" name="TextBox 3084">
          <a:extLst>
            <a:ext uri="{FF2B5EF4-FFF2-40B4-BE49-F238E27FC236}">
              <a16:creationId xmlns:a16="http://schemas.microsoft.com/office/drawing/2014/main" id="{63028C2B-885F-4721-A7A2-B65E1D3F585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6" name="TextBox 1">
          <a:extLst>
            <a:ext uri="{FF2B5EF4-FFF2-40B4-BE49-F238E27FC236}">
              <a16:creationId xmlns:a16="http://schemas.microsoft.com/office/drawing/2014/main" id="{A558E66C-6084-4990-A33D-FC1F3B7570C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7" name="TextBox 1">
          <a:extLst>
            <a:ext uri="{FF2B5EF4-FFF2-40B4-BE49-F238E27FC236}">
              <a16:creationId xmlns:a16="http://schemas.microsoft.com/office/drawing/2014/main" id="{E164C994-DCCB-4BA1-BE15-2ED21C0C78E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8" name="TextBox 3087">
          <a:extLst>
            <a:ext uri="{FF2B5EF4-FFF2-40B4-BE49-F238E27FC236}">
              <a16:creationId xmlns:a16="http://schemas.microsoft.com/office/drawing/2014/main" id="{5714C8EA-753A-4BC8-B954-0C47B70DD41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89" name="TextBox 3088">
          <a:extLst>
            <a:ext uri="{FF2B5EF4-FFF2-40B4-BE49-F238E27FC236}">
              <a16:creationId xmlns:a16="http://schemas.microsoft.com/office/drawing/2014/main" id="{87F20F33-6885-49FC-B73A-58D1C8F9A12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0" name="TextBox 1">
          <a:extLst>
            <a:ext uri="{FF2B5EF4-FFF2-40B4-BE49-F238E27FC236}">
              <a16:creationId xmlns:a16="http://schemas.microsoft.com/office/drawing/2014/main" id="{55895A93-8322-4008-9F1D-BAEF2E146EF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1" name="TextBox 1">
          <a:extLst>
            <a:ext uri="{FF2B5EF4-FFF2-40B4-BE49-F238E27FC236}">
              <a16:creationId xmlns:a16="http://schemas.microsoft.com/office/drawing/2014/main" id="{C18B1A8E-6380-4943-A464-73AE752367E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2" name="TextBox 3091">
          <a:extLst>
            <a:ext uri="{FF2B5EF4-FFF2-40B4-BE49-F238E27FC236}">
              <a16:creationId xmlns:a16="http://schemas.microsoft.com/office/drawing/2014/main" id="{1CEB49A0-87CE-4CCC-89FA-C0C0ABEA33E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3" name="TextBox 3092">
          <a:extLst>
            <a:ext uri="{FF2B5EF4-FFF2-40B4-BE49-F238E27FC236}">
              <a16:creationId xmlns:a16="http://schemas.microsoft.com/office/drawing/2014/main" id="{695C44E3-2C41-4EA1-943B-162E0EF10B0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4" name="TextBox 1">
          <a:extLst>
            <a:ext uri="{FF2B5EF4-FFF2-40B4-BE49-F238E27FC236}">
              <a16:creationId xmlns:a16="http://schemas.microsoft.com/office/drawing/2014/main" id="{9296BA9C-A9F3-475F-A65E-7E61DF22ABC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5" name="TextBox 1">
          <a:extLst>
            <a:ext uri="{FF2B5EF4-FFF2-40B4-BE49-F238E27FC236}">
              <a16:creationId xmlns:a16="http://schemas.microsoft.com/office/drawing/2014/main" id="{CA8EDDDA-935A-44E7-A081-8FFC0E69704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6" name="TextBox 3095">
          <a:extLst>
            <a:ext uri="{FF2B5EF4-FFF2-40B4-BE49-F238E27FC236}">
              <a16:creationId xmlns:a16="http://schemas.microsoft.com/office/drawing/2014/main" id="{4ED7969F-DE4E-4D85-A971-0A3A26C6085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7" name="TextBox 3096">
          <a:extLst>
            <a:ext uri="{FF2B5EF4-FFF2-40B4-BE49-F238E27FC236}">
              <a16:creationId xmlns:a16="http://schemas.microsoft.com/office/drawing/2014/main" id="{D9A559C4-F0A4-4203-9D2A-43B6775FFF9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8" name="TextBox 1">
          <a:extLst>
            <a:ext uri="{FF2B5EF4-FFF2-40B4-BE49-F238E27FC236}">
              <a16:creationId xmlns:a16="http://schemas.microsoft.com/office/drawing/2014/main" id="{A10965EA-0D84-414D-9EA4-1AEE7B699BB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099" name="TextBox 1">
          <a:extLst>
            <a:ext uri="{FF2B5EF4-FFF2-40B4-BE49-F238E27FC236}">
              <a16:creationId xmlns:a16="http://schemas.microsoft.com/office/drawing/2014/main" id="{E6A0300B-C0A3-413C-B91B-568D2F8EA19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0" name="TextBox 3099">
          <a:extLst>
            <a:ext uri="{FF2B5EF4-FFF2-40B4-BE49-F238E27FC236}">
              <a16:creationId xmlns:a16="http://schemas.microsoft.com/office/drawing/2014/main" id="{AD2A3B9C-84CD-44E1-9871-69F2151F8B3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1" name="TextBox 3100">
          <a:extLst>
            <a:ext uri="{FF2B5EF4-FFF2-40B4-BE49-F238E27FC236}">
              <a16:creationId xmlns:a16="http://schemas.microsoft.com/office/drawing/2014/main" id="{7719C008-5DEC-494B-953A-C865D2CEFC3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2" name="TextBox 1">
          <a:extLst>
            <a:ext uri="{FF2B5EF4-FFF2-40B4-BE49-F238E27FC236}">
              <a16:creationId xmlns:a16="http://schemas.microsoft.com/office/drawing/2014/main" id="{5FB48A11-7EF9-4E91-99AE-1E84C39C5AF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3" name="TextBox 1">
          <a:extLst>
            <a:ext uri="{FF2B5EF4-FFF2-40B4-BE49-F238E27FC236}">
              <a16:creationId xmlns:a16="http://schemas.microsoft.com/office/drawing/2014/main" id="{D764F991-2592-4EC5-8181-722C3EF3EC9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4" name="TextBox 3103">
          <a:extLst>
            <a:ext uri="{FF2B5EF4-FFF2-40B4-BE49-F238E27FC236}">
              <a16:creationId xmlns:a16="http://schemas.microsoft.com/office/drawing/2014/main" id="{09F6C2AC-73DC-432E-801E-B04991C93B9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5" name="TextBox 3104">
          <a:extLst>
            <a:ext uri="{FF2B5EF4-FFF2-40B4-BE49-F238E27FC236}">
              <a16:creationId xmlns:a16="http://schemas.microsoft.com/office/drawing/2014/main" id="{0E6EC974-5C0C-4CD3-997A-8244821C902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6" name="TextBox 1">
          <a:extLst>
            <a:ext uri="{FF2B5EF4-FFF2-40B4-BE49-F238E27FC236}">
              <a16:creationId xmlns:a16="http://schemas.microsoft.com/office/drawing/2014/main" id="{DE089B2C-4196-4F1B-A338-5AB8E68FC80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7" name="TextBox 1">
          <a:extLst>
            <a:ext uri="{FF2B5EF4-FFF2-40B4-BE49-F238E27FC236}">
              <a16:creationId xmlns:a16="http://schemas.microsoft.com/office/drawing/2014/main" id="{7F03918A-C91B-4015-A997-F2E7338C586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8" name="TextBox 3107">
          <a:extLst>
            <a:ext uri="{FF2B5EF4-FFF2-40B4-BE49-F238E27FC236}">
              <a16:creationId xmlns:a16="http://schemas.microsoft.com/office/drawing/2014/main" id="{DD0E55DF-E171-4F2E-BC81-EE9ED7256F9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09" name="TextBox 3108">
          <a:extLst>
            <a:ext uri="{FF2B5EF4-FFF2-40B4-BE49-F238E27FC236}">
              <a16:creationId xmlns:a16="http://schemas.microsoft.com/office/drawing/2014/main" id="{92789ED8-D24A-4AA4-BDDC-2A2CD4618DF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0" name="TextBox 3109">
          <a:extLst>
            <a:ext uri="{FF2B5EF4-FFF2-40B4-BE49-F238E27FC236}">
              <a16:creationId xmlns:a16="http://schemas.microsoft.com/office/drawing/2014/main" id="{B9561DE9-C337-4AC2-9D6A-4771249443B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1" name="TextBox 1">
          <a:extLst>
            <a:ext uri="{FF2B5EF4-FFF2-40B4-BE49-F238E27FC236}">
              <a16:creationId xmlns:a16="http://schemas.microsoft.com/office/drawing/2014/main" id="{5115C6B1-6157-4673-9B7C-5D60BA973F4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2" name="TextBox 1">
          <a:extLst>
            <a:ext uri="{FF2B5EF4-FFF2-40B4-BE49-F238E27FC236}">
              <a16:creationId xmlns:a16="http://schemas.microsoft.com/office/drawing/2014/main" id="{FFBFEEDF-9BE6-45EA-A5CB-F8811B74121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3" name="TextBox 3112">
          <a:extLst>
            <a:ext uri="{FF2B5EF4-FFF2-40B4-BE49-F238E27FC236}">
              <a16:creationId xmlns:a16="http://schemas.microsoft.com/office/drawing/2014/main" id="{7E000CF2-5F64-42F4-89E2-1D0A4343A61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4" name="TextBox 3113">
          <a:extLst>
            <a:ext uri="{FF2B5EF4-FFF2-40B4-BE49-F238E27FC236}">
              <a16:creationId xmlns:a16="http://schemas.microsoft.com/office/drawing/2014/main" id="{0249E931-D623-4BCD-A441-AFEC2BF2D98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5" name="TextBox 1">
          <a:extLst>
            <a:ext uri="{FF2B5EF4-FFF2-40B4-BE49-F238E27FC236}">
              <a16:creationId xmlns:a16="http://schemas.microsoft.com/office/drawing/2014/main" id="{D6077037-5264-40FD-8B19-6199988CD66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6" name="TextBox 1">
          <a:extLst>
            <a:ext uri="{FF2B5EF4-FFF2-40B4-BE49-F238E27FC236}">
              <a16:creationId xmlns:a16="http://schemas.microsoft.com/office/drawing/2014/main" id="{B221BCE1-F105-4A7A-BF45-65FBA6EB813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7" name="TextBox 3116">
          <a:extLst>
            <a:ext uri="{FF2B5EF4-FFF2-40B4-BE49-F238E27FC236}">
              <a16:creationId xmlns:a16="http://schemas.microsoft.com/office/drawing/2014/main" id="{61F960C3-22C9-4454-808E-5AF02F204DE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8" name="TextBox 3117">
          <a:extLst>
            <a:ext uri="{FF2B5EF4-FFF2-40B4-BE49-F238E27FC236}">
              <a16:creationId xmlns:a16="http://schemas.microsoft.com/office/drawing/2014/main" id="{D91628F0-1042-469D-AD68-809E4A2DE2F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19" name="TextBox 1">
          <a:extLst>
            <a:ext uri="{FF2B5EF4-FFF2-40B4-BE49-F238E27FC236}">
              <a16:creationId xmlns:a16="http://schemas.microsoft.com/office/drawing/2014/main" id="{03F88767-7D47-4982-8A7B-B1F86265C8B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0" name="TextBox 1">
          <a:extLst>
            <a:ext uri="{FF2B5EF4-FFF2-40B4-BE49-F238E27FC236}">
              <a16:creationId xmlns:a16="http://schemas.microsoft.com/office/drawing/2014/main" id="{59E459FE-4BC8-4D99-AD93-3C06A083901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1" name="TextBox 3120">
          <a:extLst>
            <a:ext uri="{FF2B5EF4-FFF2-40B4-BE49-F238E27FC236}">
              <a16:creationId xmlns:a16="http://schemas.microsoft.com/office/drawing/2014/main" id="{B018F8FA-0ED8-4121-A69F-706E9E08B4C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2" name="TextBox 3121">
          <a:extLst>
            <a:ext uri="{FF2B5EF4-FFF2-40B4-BE49-F238E27FC236}">
              <a16:creationId xmlns:a16="http://schemas.microsoft.com/office/drawing/2014/main" id="{E7550BAD-41C9-461B-AB8B-2891A07F63E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3" name="TextBox 1">
          <a:extLst>
            <a:ext uri="{FF2B5EF4-FFF2-40B4-BE49-F238E27FC236}">
              <a16:creationId xmlns:a16="http://schemas.microsoft.com/office/drawing/2014/main" id="{CC40D7AD-14B4-4D09-80A3-211AEFDB407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4" name="TextBox 1">
          <a:extLst>
            <a:ext uri="{FF2B5EF4-FFF2-40B4-BE49-F238E27FC236}">
              <a16:creationId xmlns:a16="http://schemas.microsoft.com/office/drawing/2014/main" id="{53A8DE96-4099-44B9-9BCD-074F69A1A55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5" name="TextBox 3124">
          <a:extLst>
            <a:ext uri="{FF2B5EF4-FFF2-40B4-BE49-F238E27FC236}">
              <a16:creationId xmlns:a16="http://schemas.microsoft.com/office/drawing/2014/main" id="{893E8A38-FFBE-48AE-A58F-C0749D67707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6" name="TextBox 3125">
          <a:extLst>
            <a:ext uri="{FF2B5EF4-FFF2-40B4-BE49-F238E27FC236}">
              <a16:creationId xmlns:a16="http://schemas.microsoft.com/office/drawing/2014/main" id="{092487FD-C53E-45DD-BDD1-8C6663A91EA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7" name="TextBox 1">
          <a:extLst>
            <a:ext uri="{FF2B5EF4-FFF2-40B4-BE49-F238E27FC236}">
              <a16:creationId xmlns:a16="http://schemas.microsoft.com/office/drawing/2014/main" id="{2A8588AF-841B-467E-8005-77833865838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8" name="TextBox 1">
          <a:extLst>
            <a:ext uri="{FF2B5EF4-FFF2-40B4-BE49-F238E27FC236}">
              <a16:creationId xmlns:a16="http://schemas.microsoft.com/office/drawing/2014/main" id="{9F1C175D-8E4C-4131-AD75-FA78200DE24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29" name="TextBox 3128">
          <a:extLst>
            <a:ext uri="{FF2B5EF4-FFF2-40B4-BE49-F238E27FC236}">
              <a16:creationId xmlns:a16="http://schemas.microsoft.com/office/drawing/2014/main" id="{315A5BBC-1C4D-4F89-B6DB-BE893B18052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0" name="TextBox 3129">
          <a:extLst>
            <a:ext uri="{FF2B5EF4-FFF2-40B4-BE49-F238E27FC236}">
              <a16:creationId xmlns:a16="http://schemas.microsoft.com/office/drawing/2014/main" id="{4FF72E63-6370-46A0-8154-F26147C0B63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1" name="TextBox 1">
          <a:extLst>
            <a:ext uri="{FF2B5EF4-FFF2-40B4-BE49-F238E27FC236}">
              <a16:creationId xmlns:a16="http://schemas.microsoft.com/office/drawing/2014/main" id="{8B4D09B9-FF58-4E84-9C21-C4945E89788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2" name="TextBox 1">
          <a:extLst>
            <a:ext uri="{FF2B5EF4-FFF2-40B4-BE49-F238E27FC236}">
              <a16:creationId xmlns:a16="http://schemas.microsoft.com/office/drawing/2014/main" id="{CE284950-941F-47CC-949D-024E9C51F36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3" name="TextBox 3132">
          <a:extLst>
            <a:ext uri="{FF2B5EF4-FFF2-40B4-BE49-F238E27FC236}">
              <a16:creationId xmlns:a16="http://schemas.microsoft.com/office/drawing/2014/main" id="{774D3740-9BEB-4F33-8A2B-507F7B647D0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4" name="TextBox 3133">
          <a:extLst>
            <a:ext uri="{FF2B5EF4-FFF2-40B4-BE49-F238E27FC236}">
              <a16:creationId xmlns:a16="http://schemas.microsoft.com/office/drawing/2014/main" id="{609D0E82-6356-4E60-B9D8-7023E15D60F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5" name="TextBox 1">
          <a:extLst>
            <a:ext uri="{FF2B5EF4-FFF2-40B4-BE49-F238E27FC236}">
              <a16:creationId xmlns:a16="http://schemas.microsoft.com/office/drawing/2014/main" id="{73045EAF-2627-43C2-B478-FEC6FE6B927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6" name="TextBox 1">
          <a:extLst>
            <a:ext uri="{FF2B5EF4-FFF2-40B4-BE49-F238E27FC236}">
              <a16:creationId xmlns:a16="http://schemas.microsoft.com/office/drawing/2014/main" id="{F0379CFA-DE5C-4762-8861-F12C8499245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7" name="TextBox 3136">
          <a:extLst>
            <a:ext uri="{FF2B5EF4-FFF2-40B4-BE49-F238E27FC236}">
              <a16:creationId xmlns:a16="http://schemas.microsoft.com/office/drawing/2014/main" id="{6CCE196A-E593-4938-AD79-5CA0954EE74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8" name="TextBox 3137">
          <a:extLst>
            <a:ext uri="{FF2B5EF4-FFF2-40B4-BE49-F238E27FC236}">
              <a16:creationId xmlns:a16="http://schemas.microsoft.com/office/drawing/2014/main" id="{C6D8A150-2866-423C-B571-3765C7A4103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39" name="TextBox 1">
          <a:extLst>
            <a:ext uri="{FF2B5EF4-FFF2-40B4-BE49-F238E27FC236}">
              <a16:creationId xmlns:a16="http://schemas.microsoft.com/office/drawing/2014/main" id="{295973DE-EF9F-4926-B500-45E4FA2F5B3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0" name="TextBox 1">
          <a:extLst>
            <a:ext uri="{FF2B5EF4-FFF2-40B4-BE49-F238E27FC236}">
              <a16:creationId xmlns:a16="http://schemas.microsoft.com/office/drawing/2014/main" id="{52B00E19-B21E-4BF0-B110-FF0040FE082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1" name="TextBox 3140">
          <a:extLst>
            <a:ext uri="{FF2B5EF4-FFF2-40B4-BE49-F238E27FC236}">
              <a16:creationId xmlns:a16="http://schemas.microsoft.com/office/drawing/2014/main" id="{0AD2F9E1-F1F7-42C1-98D9-FF74C993072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2" name="TextBox 3141">
          <a:extLst>
            <a:ext uri="{FF2B5EF4-FFF2-40B4-BE49-F238E27FC236}">
              <a16:creationId xmlns:a16="http://schemas.microsoft.com/office/drawing/2014/main" id="{A74CE6B9-95C8-445B-BED2-ED54F2E3BE6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3" name="TextBox 1">
          <a:extLst>
            <a:ext uri="{FF2B5EF4-FFF2-40B4-BE49-F238E27FC236}">
              <a16:creationId xmlns:a16="http://schemas.microsoft.com/office/drawing/2014/main" id="{DF4D6B67-DDA7-4C51-B583-AC2121D0486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4" name="TextBox 1">
          <a:extLst>
            <a:ext uri="{FF2B5EF4-FFF2-40B4-BE49-F238E27FC236}">
              <a16:creationId xmlns:a16="http://schemas.microsoft.com/office/drawing/2014/main" id="{7DF8BBC8-5994-4056-B931-D541AFB9B14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5" name="TextBox 3144">
          <a:extLst>
            <a:ext uri="{FF2B5EF4-FFF2-40B4-BE49-F238E27FC236}">
              <a16:creationId xmlns:a16="http://schemas.microsoft.com/office/drawing/2014/main" id="{F491E627-ADCD-492B-921E-7F19E161D9B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6" name="TextBox 3145">
          <a:extLst>
            <a:ext uri="{FF2B5EF4-FFF2-40B4-BE49-F238E27FC236}">
              <a16:creationId xmlns:a16="http://schemas.microsoft.com/office/drawing/2014/main" id="{9CD21F7E-BC5F-42AF-A092-9F8A87816A8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7" name="TextBox 1">
          <a:extLst>
            <a:ext uri="{FF2B5EF4-FFF2-40B4-BE49-F238E27FC236}">
              <a16:creationId xmlns:a16="http://schemas.microsoft.com/office/drawing/2014/main" id="{BE09748F-BDAE-43A4-81B0-F61D1BB187B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8" name="TextBox 1">
          <a:extLst>
            <a:ext uri="{FF2B5EF4-FFF2-40B4-BE49-F238E27FC236}">
              <a16:creationId xmlns:a16="http://schemas.microsoft.com/office/drawing/2014/main" id="{0076CB9D-9579-41AF-8D19-DFF9D4EB2D1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49" name="TextBox 3148">
          <a:extLst>
            <a:ext uri="{FF2B5EF4-FFF2-40B4-BE49-F238E27FC236}">
              <a16:creationId xmlns:a16="http://schemas.microsoft.com/office/drawing/2014/main" id="{F030EB8F-0CC8-498B-9893-69F80E33FCF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0" name="TextBox 3149">
          <a:extLst>
            <a:ext uri="{FF2B5EF4-FFF2-40B4-BE49-F238E27FC236}">
              <a16:creationId xmlns:a16="http://schemas.microsoft.com/office/drawing/2014/main" id="{1D48A227-FC18-4C34-98A1-00C9E81AFC8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1" name="TextBox 1">
          <a:extLst>
            <a:ext uri="{FF2B5EF4-FFF2-40B4-BE49-F238E27FC236}">
              <a16:creationId xmlns:a16="http://schemas.microsoft.com/office/drawing/2014/main" id="{329ED9A9-3134-498B-8F4F-29875DE2765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2" name="TextBox 1">
          <a:extLst>
            <a:ext uri="{FF2B5EF4-FFF2-40B4-BE49-F238E27FC236}">
              <a16:creationId xmlns:a16="http://schemas.microsoft.com/office/drawing/2014/main" id="{00F37BD1-CFA9-4934-8373-FC65C2BDEB2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3" name="TextBox 3152">
          <a:extLst>
            <a:ext uri="{FF2B5EF4-FFF2-40B4-BE49-F238E27FC236}">
              <a16:creationId xmlns:a16="http://schemas.microsoft.com/office/drawing/2014/main" id="{90599931-D1F7-478D-883D-C90F08C8045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4" name="TextBox 3153">
          <a:extLst>
            <a:ext uri="{FF2B5EF4-FFF2-40B4-BE49-F238E27FC236}">
              <a16:creationId xmlns:a16="http://schemas.microsoft.com/office/drawing/2014/main" id="{CE84E7AE-DC29-4A44-910F-6CE71FC545A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5" name="TextBox 3154">
          <a:extLst>
            <a:ext uri="{FF2B5EF4-FFF2-40B4-BE49-F238E27FC236}">
              <a16:creationId xmlns:a16="http://schemas.microsoft.com/office/drawing/2014/main" id="{F9848B21-3222-49FD-9D0A-C0B5DED6A5C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6" name="TextBox 1">
          <a:extLst>
            <a:ext uri="{FF2B5EF4-FFF2-40B4-BE49-F238E27FC236}">
              <a16:creationId xmlns:a16="http://schemas.microsoft.com/office/drawing/2014/main" id="{EB9D4F65-E648-4E1F-9794-942DE2F4050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7" name="TextBox 1">
          <a:extLst>
            <a:ext uri="{FF2B5EF4-FFF2-40B4-BE49-F238E27FC236}">
              <a16:creationId xmlns:a16="http://schemas.microsoft.com/office/drawing/2014/main" id="{1E1428D5-7BA2-432C-ADDC-88D28E82B1B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8" name="TextBox 3157">
          <a:extLst>
            <a:ext uri="{FF2B5EF4-FFF2-40B4-BE49-F238E27FC236}">
              <a16:creationId xmlns:a16="http://schemas.microsoft.com/office/drawing/2014/main" id="{644131E4-565E-4692-847F-1EC0744458E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59" name="TextBox 3158">
          <a:extLst>
            <a:ext uri="{FF2B5EF4-FFF2-40B4-BE49-F238E27FC236}">
              <a16:creationId xmlns:a16="http://schemas.microsoft.com/office/drawing/2014/main" id="{EAE2FAD3-1816-4B00-A295-AFE6270F7D9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0" name="TextBox 1">
          <a:extLst>
            <a:ext uri="{FF2B5EF4-FFF2-40B4-BE49-F238E27FC236}">
              <a16:creationId xmlns:a16="http://schemas.microsoft.com/office/drawing/2014/main" id="{E07669AD-0E31-47F1-B569-038997EE60F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1" name="TextBox 1">
          <a:extLst>
            <a:ext uri="{FF2B5EF4-FFF2-40B4-BE49-F238E27FC236}">
              <a16:creationId xmlns:a16="http://schemas.microsoft.com/office/drawing/2014/main" id="{744612E4-B365-47F7-87EC-CD2D3016542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2" name="TextBox 3161">
          <a:extLst>
            <a:ext uri="{FF2B5EF4-FFF2-40B4-BE49-F238E27FC236}">
              <a16:creationId xmlns:a16="http://schemas.microsoft.com/office/drawing/2014/main" id="{0E955211-958C-4F41-9435-1AFD897ABE7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3" name="TextBox 3162">
          <a:extLst>
            <a:ext uri="{FF2B5EF4-FFF2-40B4-BE49-F238E27FC236}">
              <a16:creationId xmlns:a16="http://schemas.microsoft.com/office/drawing/2014/main" id="{4D3F26C7-8DA8-42A7-BFAB-C03B584ACFF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4" name="TextBox 1">
          <a:extLst>
            <a:ext uri="{FF2B5EF4-FFF2-40B4-BE49-F238E27FC236}">
              <a16:creationId xmlns:a16="http://schemas.microsoft.com/office/drawing/2014/main" id="{D14DB895-324D-4697-A608-B2C8AD1EFBF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5" name="TextBox 1">
          <a:extLst>
            <a:ext uri="{FF2B5EF4-FFF2-40B4-BE49-F238E27FC236}">
              <a16:creationId xmlns:a16="http://schemas.microsoft.com/office/drawing/2014/main" id="{1200E686-5848-4385-885B-75D32E135DD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6" name="TextBox 3165">
          <a:extLst>
            <a:ext uri="{FF2B5EF4-FFF2-40B4-BE49-F238E27FC236}">
              <a16:creationId xmlns:a16="http://schemas.microsoft.com/office/drawing/2014/main" id="{05A8EE85-A20F-4617-BA8D-04BF82ADA29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7" name="TextBox 3166">
          <a:extLst>
            <a:ext uri="{FF2B5EF4-FFF2-40B4-BE49-F238E27FC236}">
              <a16:creationId xmlns:a16="http://schemas.microsoft.com/office/drawing/2014/main" id="{AC284C55-C262-4AC6-9CDC-7DDBBB057AB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8" name="TextBox 1">
          <a:extLst>
            <a:ext uri="{FF2B5EF4-FFF2-40B4-BE49-F238E27FC236}">
              <a16:creationId xmlns:a16="http://schemas.microsoft.com/office/drawing/2014/main" id="{FC2699A4-FED7-4A03-9134-71E91715282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69" name="TextBox 1">
          <a:extLst>
            <a:ext uri="{FF2B5EF4-FFF2-40B4-BE49-F238E27FC236}">
              <a16:creationId xmlns:a16="http://schemas.microsoft.com/office/drawing/2014/main" id="{437117E3-968B-45A6-8F3D-B295D056B50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0" name="TextBox 3169">
          <a:extLst>
            <a:ext uri="{FF2B5EF4-FFF2-40B4-BE49-F238E27FC236}">
              <a16:creationId xmlns:a16="http://schemas.microsoft.com/office/drawing/2014/main" id="{01E5AB00-5C4D-47BB-A53D-BC11878BF2B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1" name="TextBox 3170">
          <a:extLst>
            <a:ext uri="{FF2B5EF4-FFF2-40B4-BE49-F238E27FC236}">
              <a16:creationId xmlns:a16="http://schemas.microsoft.com/office/drawing/2014/main" id="{5A3BCB3A-EC63-498C-BA79-B7FC1492A7B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2" name="TextBox 1">
          <a:extLst>
            <a:ext uri="{FF2B5EF4-FFF2-40B4-BE49-F238E27FC236}">
              <a16:creationId xmlns:a16="http://schemas.microsoft.com/office/drawing/2014/main" id="{CA0CD43B-8206-44B7-9E46-3A64EEC45BA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3" name="TextBox 1">
          <a:extLst>
            <a:ext uri="{FF2B5EF4-FFF2-40B4-BE49-F238E27FC236}">
              <a16:creationId xmlns:a16="http://schemas.microsoft.com/office/drawing/2014/main" id="{9C6F6591-0769-4992-B6DF-88788761828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4" name="TextBox 3173">
          <a:extLst>
            <a:ext uri="{FF2B5EF4-FFF2-40B4-BE49-F238E27FC236}">
              <a16:creationId xmlns:a16="http://schemas.microsoft.com/office/drawing/2014/main" id="{82EAE5CC-F823-443C-8D4F-74B5BCC9787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5" name="TextBox 3174">
          <a:extLst>
            <a:ext uri="{FF2B5EF4-FFF2-40B4-BE49-F238E27FC236}">
              <a16:creationId xmlns:a16="http://schemas.microsoft.com/office/drawing/2014/main" id="{20C70CBC-72E8-4BE5-BE49-0F3D839775D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6" name="TextBox 1">
          <a:extLst>
            <a:ext uri="{FF2B5EF4-FFF2-40B4-BE49-F238E27FC236}">
              <a16:creationId xmlns:a16="http://schemas.microsoft.com/office/drawing/2014/main" id="{F7AE97E7-B69E-4D23-AB61-5FFB2AC4A95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7" name="TextBox 1">
          <a:extLst>
            <a:ext uri="{FF2B5EF4-FFF2-40B4-BE49-F238E27FC236}">
              <a16:creationId xmlns:a16="http://schemas.microsoft.com/office/drawing/2014/main" id="{809EF0A0-313D-477F-A06C-9C39C029D6F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8" name="TextBox 3177">
          <a:extLst>
            <a:ext uri="{FF2B5EF4-FFF2-40B4-BE49-F238E27FC236}">
              <a16:creationId xmlns:a16="http://schemas.microsoft.com/office/drawing/2014/main" id="{B12D380A-8A7E-471F-98A8-6E897638061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79" name="TextBox 3178">
          <a:extLst>
            <a:ext uri="{FF2B5EF4-FFF2-40B4-BE49-F238E27FC236}">
              <a16:creationId xmlns:a16="http://schemas.microsoft.com/office/drawing/2014/main" id="{18D0747B-4435-4B87-872A-7245D2515D6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0" name="TextBox 1">
          <a:extLst>
            <a:ext uri="{FF2B5EF4-FFF2-40B4-BE49-F238E27FC236}">
              <a16:creationId xmlns:a16="http://schemas.microsoft.com/office/drawing/2014/main" id="{87CFD2E0-6BC3-466E-A952-683DBC6CB5F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1" name="TextBox 1">
          <a:extLst>
            <a:ext uri="{FF2B5EF4-FFF2-40B4-BE49-F238E27FC236}">
              <a16:creationId xmlns:a16="http://schemas.microsoft.com/office/drawing/2014/main" id="{2FEBB09B-DBDC-4372-87CA-B33A471265D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2" name="TextBox 3181">
          <a:extLst>
            <a:ext uri="{FF2B5EF4-FFF2-40B4-BE49-F238E27FC236}">
              <a16:creationId xmlns:a16="http://schemas.microsoft.com/office/drawing/2014/main" id="{487E6DAD-B5AF-45BD-B991-6FA7E0ACE01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3" name="TextBox 3182">
          <a:extLst>
            <a:ext uri="{FF2B5EF4-FFF2-40B4-BE49-F238E27FC236}">
              <a16:creationId xmlns:a16="http://schemas.microsoft.com/office/drawing/2014/main" id="{9CE40CB5-14A7-42E5-B0D5-7EB59B4B2B3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4" name="TextBox 1">
          <a:extLst>
            <a:ext uri="{FF2B5EF4-FFF2-40B4-BE49-F238E27FC236}">
              <a16:creationId xmlns:a16="http://schemas.microsoft.com/office/drawing/2014/main" id="{38DD5576-C2C9-49E3-B616-F382435FF10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5" name="TextBox 1">
          <a:extLst>
            <a:ext uri="{FF2B5EF4-FFF2-40B4-BE49-F238E27FC236}">
              <a16:creationId xmlns:a16="http://schemas.microsoft.com/office/drawing/2014/main" id="{DB9EB17E-9283-4D98-88A1-E8E5D8A64EF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6" name="TextBox 3185">
          <a:extLst>
            <a:ext uri="{FF2B5EF4-FFF2-40B4-BE49-F238E27FC236}">
              <a16:creationId xmlns:a16="http://schemas.microsoft.com/office/drawing/2014/main" id="{1D2D694A-7513-47DD-B6F1-A11BDBBC1B6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7" name="TextBox 3186">
          <a:extLst>
            <a:ext uri="{FF2B5EF4-FFF2-40B4-BE49-F238E27FC236}">
              <a16:creationId xmlns:a16="http://schemas.microsoft.com/office/drawing/2014/main" id="{FFF5FE70-6916-44D0-A069-C671C6D53A6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8" name="TextBox 1">
          <a:extLst>
            <a:ext uri="{FF2B5EF4-FFF2-40B4-BE49-F238E27FC236}">
              <a16:creationId xmlns:a16="http://schemas.microsoft.com/office/drawing/2014/main" id="{EA747361-AD3F-4F7B-8799-760597D756F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89" name="TextBox 1">
          <a:extLst>
            <a:ext uri="{FF2B5EF4-FFF2-40B4-BE49-F238E27FC236}">
              <a16:creationId xmlns:a16="http://schemas.microsoft.com/office/drawing/2014/main" id="{91927296-3BC4-4FDE-A1B4-6646E83C677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0" name="TextBox 3189">
          <a:extLst>
            <a:ext uri="{FF2B5EF4-FFF2-40B4-BE49-F238E27FC236}">
              <a16:creationId xmlns:a16="http://schemas.microsoft.com/office/drawing/2014/main" id="{B225E363-6E94-4191-8325-2E505C213D5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1" name="TextBox 1">
          <a:extLst>
            <a:ext uri="{FF2B5EF4-FFF2-40B4-BE49-F238E27FC236}">
              <a16:creationId xmlns:a16="http://schemas.microsoft.com/office/drawing/2014/main" id="{A4DEE7D5-4CC5-4E04-A3C0-C755D57A3B7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2" name="TextBox 1">
          <a:extLst>
            <a:ext uri="{FF2B5EF4-FFF2-40B4-BE49-F238E27FC236}">
              <a16:creationId xmlns:a16="http://schemas.microsoft.com/office/drawing/2014/main" id="{85541D19-8933-41B4-8874-8C047BAD382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3" name="TextBox 3192">
          <a:extLst>
            <a:ext uri="{FF2B5EF4-FFF2-40B4-BE49-F238E27FC236}">
              <a16:creationId xmlns:a16="http://schemas.microsoft.com/office/drawing/2014/main" id="{6A6806FE-4FAB-48E4-81EB-82DFD4CF4F2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4" name="TextBox 1">
          <a:extLst>
            <a:ext uri="{FF2B5EF4-FFF2-40B4-BE49-F238E27FC236}">
              <a16:creationId xmlns:a16="http://schemas.microsoft.com/office/drawing/2014/main" id="{B4C8329B-36FF-4929-914E-0F2A55B9F5C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5" name="TextBox 3194">
          <a:extLst>
            <a:ext uri="{FF2B5EF4-FFF2-40B4-BE49-F238E27FC236}">
              <a16:creationId xmlns:a16="http://schemas.microsoft.com/office/drawing/2014/main" id="{7FDC6569-9679-44B1-8BFE-8F4132AE738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6" name="TextBox 1">
          <a:extLst>
            <a:ext uri="{FF2B5EF4-FFF2-40B4-BE49-F238E27FC236}">
              <a16:creationId xmlns:a16="http://schemas.microsoft.com/office/drawing/2014/main" id="{DFE6A395-646B-4DAC-A857-765170D6382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7" name="TextBox 1">
          <a:extLst>
            <a:ext uri="{FF2B5EF4-FFF2-40B4-BE49-F238E27FC236}">
              <a16:creationId xmlns:a16="http://schemas.microsoft.com/office/drawing/2014/main" id="{1819F9ED-8C56-41D8-8627-7386D742105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8" name="TextBox 3197">
          <a:extLst>
            <a:ext uri="{FF2B5EF4-FFF2-40B4-BE49-F238E27FC236}">
              <a16:creationId xmlns:a16="http://schemas.microsoft.com/office/drawing/2014/main" id="{01521ABD-3891-4A72-AEA5-35A6F8D8B02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199" name="TextBox 3198">
          <a:extLst>
            <a:ext uri="{FF2B5EF4-FFF2-40B4-BE49-F238E27FC236}">
              <a16:creationId xmlns:a16="http://schemas.microsoft.com/office/drawing/2014/main" id="{2FA5FBF6-3229-4C9A-A842-07A25682073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0" name="TextBox 1">
          <a:extLst>
            <a:ext uri="{FF2B5EF4-FFF2-40B4-BE49-F238E27FC236}">
              <a16:creationId xmlns:a16="http://schemas.microsoft.com/office/drawing/2014/main" id="{F567B0A7-8740-4132-814E-0DEE5C46823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1" name="TextBox 1">
          <a:extLst>
            <a:ext uri="{FF2B5EF4-FFF2-40B4-BE49-F238E27FC236}">
              <a16:creationId xmlns:a16="http://schemas.microsoft.com/office/drawing/2014/main" id="{A3BC27C1-E2A4-4771-AFA4-F1E01709975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2" name="TextBox 3201">
          <a:extLst>
            <a:ext uri="{FF2B5EF4-FFF2-40B4-BE49-F238E27FC236}">
              <a16:creationId xmlns:a16="http://schemas.microsoft.com/office/drawing/2014/main" id="{DEC619CA-D5CD-4C83-A803-425B59CCF79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3" name="TextBox 3202">
          <a:extLst>
            <a:ext uri="{FF2B5EF4-FFF2-40B4-BE49-F238E27FC236}">
              <a16:creationId xmlns:a16="http://schemas.microsoft.com/office/drawing/2014/main" id="{B383CA2B-BF28-40A9-B6FA-18974DEA192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4" name="TextBox 3203">
          <a:extLst>
            <a:ext uri="{FF2B5EF4-FFF2-40B4-BE49-F238E27FC236}">
              <a16:creationId xmlns:a16="http://schemas.microsoft.com/office/drawing/2014/main" id="{1CA6410B-C465-47D8-9069-90030D57ABA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5" name="TextBox 1">
          <a:extLst>
            <a:ext uri="{FF2B5EF4-FFF2-40B4-BE49-F238E27FC236}">
              <a16:creationId xmlns:a16="http://schemas.microsoft.com/office/drawing/2014/main" id="{417D36D8-651E-4499-BD70-9A16889E62E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6" name="TextBox 1">
          <a:extLst>
            <a:ext uri="{FF2B5EF4-FFF2-40B4-BE49-F238E27FC236}">
              <a16:creationId xmlns:a16="http://schemas.microsoft.com/office/drawing/2014/main" id="{08844C5F-597A-4FBF-A3B2-972E86B1C0F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7" name="TextBox 3206">
          <a:extLst>
            <a:ext uri="{FF2B5EF4-FFF2-40B4-BE49-F238E27FC236}">
              <a16:creationId xmlns:a16="http://schemas.microsoft.com/office/drawing/2014/main" id="{502AC7D7-4B84-4BDA-8483-FE04077CE57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8" name="TextBox 3207">
          <a:extLst>
            <a:ext uri="{FF2B5EF4-FFF2-40B4-BE49-F238E27FC236}">
              <a16:creationId xmlns:a16="http://schemas.microsoft.com/office/drawing/2014/main" id="{F03AA6BF-7588-41B5-A0E1-85AD4A78F77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09" name="TextBox 1">
          <a:extLst>
            <a:ext uri="{FF2B5EF4-FFF2-40B4-BE49-F238E27FC236}">
              <a16:creationId xmlns:a16="http://schemas.microsoft.com/office/drawing/2014/main" id="{0F755029-1DC8-4EC8-8263-1F08DF6CE6B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0" name="TextBox 1">
          <a:extLst>
            <a:ext uri="{FF2B5EF4-FFF2-40B4-BE49-F238E27FC236}">
              <a16:creationId xmlns:a16="http://schemas.microsoft.com/office/drawing/2014/main" id="{E42C8371-7FFA-4452-A258-3219C473BAD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1" name="TextBox 3210">
          <a:extLst>
            <a:ext uri="{FF2B5EF4-FFF2-40B4-BE49-F238E27FC236}">
              <a16:creationId xmlns:a16="http://schemas.microsoft.com/office/drawing/2014/main" id="{11A7700C-FEA4-4F51-BFAE-1DEE504187F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2" name="TextBox 3211">
          <a:extLst>
            <a:ext uri="{FF2B5EF4-FFF2-40B4-BE49-F238E27FC236}">
              <a16:creationId xmlns:a16="http://schemas.microsoft.com/office/drawing/2014/main" id="{342B7495-E1DE-43B3-A1AF-7701371387A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3" name="TextBox 1">
          <a:extLst>
            <a:ext uri="{FF2B5EF4-FFF2-40B4-BE49-F238E27FC236}">
              <a16:creationId xmlns:a16="http://schemas.microsoft.com/office/drawing/2014/main" id="{257F0F48-FAE7-47F7-BE3B-31250FAE6D5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4" name="TextBox 1">
          <a:extLst>
            <a:ext uri="{FF2B5EF4-FFF2-40B4-BE49-F238E27FC236}">
              <a16:creationId xmlns:a16="http://schemas.microsoft.com/office/drawing/2014/main" id="{9E284477-BF89-4656-A999-DEE551CA942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5" name="TextBox 3214">
          <a:extLst>
            <a:ext uri="{FF2B5EF4-FFF2-40B4-BE49-F238E27FC236}">
              <a16:creationId xmlns:a16="http://schemas.microsoft.com/office/drawing/2014/main" id="{215AE400-044E-41AD-9600-337F38D588B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6" name="TextBox 3215">
          <a:extLst>
            <a:ext uri="{FF2B5EF4-FFF2-40B4-BE49-F238E27FC236}">
              <a16:creationId xmlns:a16="http://schemas.microsoft.com/office/drawing/2014/main" id="{2591C76C-AAB4-4A28-B04D-05DC8333F39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7" name="TextBox 1">
          <a:extLst>
            <a:ext uri="{FF2B5EF4-FFF2-40B4-BE49-F238E27FC236}">
              <a16:creationId xmlns:a16="http://schemas.microsoft.com/office/drawing/2014/main" id="{C63B9927-A659-47F1-842F-B3552855DDB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8" name="TextBox 1">
          <a:extLst>
            <a:ext uri="{FF2B5EF4-FFF2-40B4-BE49-F238E27FC236}">
              <a16:creationId xmlns:a16="http://schemas.microsoft.com/office/drawing/2014/main" id="{07B6D3C5-664B-40D1-8A9B-DDFC72872EB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19" name="TextBox 3218">
          <a:extLst>
            <a:ext uri="{FF2B5EF4-FFF2-40B4-BE49-F238E27FC236}">
              <a16:creationId xmlns:a16="http://schemas.microsoft.com/office/drawing/2014/main" id="{CC969CC3-9FD3-4BEB-8C4C-E83E64695DE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0" name="TextBox 3219">
          <a:extLst>
            <a:ext uri="{FF2B5EF4-FFF2-40B4-BE49-F238E27FC236}">
              <a16:creationId xmlns:a16="http://schemas.microsoft.com/office/drawing/2014/main" id="{00FF63CC-41B9-4BB4-9126-1B9A0217425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1" name="TextBox 1">
          <a:extLst>
            <a:ext uri="{FF2B5EF4-FFF2-40B4-BE49-F238E27FC236}">
              <a16:creationId xmlns:a16="http://schemas.microsoft.com/office/drawing/2014/main" id="{F671C04D-B17A-439C-B6F5-7AC77CAE5F1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2" name="TextBox 1">
          <a:extLst>
            <a:ext uri="{FF2B5EF4-FFF2-40B4-BE49-F238E27FC236}">
              <a16:creationId xmlns:a16="http://schemas.microsoft.com/office/drawing/2014/main" id="{6A0F9734-576E-4319-843B-83C939EE71E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3" name="TextBox 3222">
          <a:extLst>
            <a:ext uri="{FF2B5EF4-FFF2-40B4-BE49-F238E27FC236}">
              <a16:creationId xmlns:a16="http://schemas.microsoft.com/office/drawing/2014/main" id="{11F74F0B-6021-4628-80F2-50B0AF2D2CC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4" name="TextBox 3223">
          <a:extLst>
            <a:ext uri="{FF2B5EF4-FFF2-40B4-BE49-F238E27FC236}">
              <a16:creationId xmlns:a16="http://schemas.microsoft.com/office/drawing/2014/main" id="{B2492F9E-D041-4825-B98E-9DA050C89DF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5" name="TextBox 1">
          <a:extLst>
            <a:ext uri="{FF2B5EF4-FFF2-40B4-BE49-F238E27FC236}">
              <a16:creationId xmlns:a16="http://schemas.microsoft.com/office/drawing/2014/main" id="{7D3E0F6B-6858-4312-9CDD-780BD923521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6" name="TextBox 1">
          <a:extLst>
            <a:ext uri="{FF2B5EF4-FFF2-40B4-BE49-F238E27FC236}">
              <a16:creationId xmlns:a16="http://schemas.microsoft.com/office/drawing/2014/main" id="{13902447-D964-42C6-A435-B3F783DE0E8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7" name="TextBox 3226">
          <a:extLst>
            <a:ext uri="{FF2B5EF4-FFF2-40B4-BE49-F238E27FC236}">
              <a16:creationId xmlns:a16="http://schemas.microsoft.com/office/drawing/2014/main" id="{AE57EE49-FCA4-443F-A140-BFA74413DE3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8" name="TextBox 3227">
          <a:extLst>
            <a:ext uri="{FF2B5EF4-FFF2-40B4-BE49-F238E27FC236}">
              <a16:creationId xmlns:a16="http://schemas.microsoft.com/office/drawing/2014/main" id="{C9C8A0BF-0C40-427B-8AE3-9EFC95D4C7A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29" name="TextBox 1">
          <a:extLst>
            <a:ext uri="{FF2B5EF4-FFF2-40B4-BE49-F238E27FC236}">
              <a16:creationId xmlns:a16="http://schemas.microsoft.com/office/drawing/2014/main" id="{4DFC11EB-DCDC-4916-A1E0-1E31288B7FD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0" name="TextBox 1">
          <a:extLst>
            <a:ext uri="{FF2B5EF4-FFF2-40B4-BE49-F238E27FC236}">
              <a16:creationId xmlns:a16="http://schemas.microsoft.com/office/drawing/2014/main" id="{5CD86CEF-BDC5-4003-BCF0-64B27B25EE8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1" name="TextBox 3230">
          <a:extLst>
            <a:ext uri="{FF2B5EF4-FFF2-40B4-BE49-F238E27FC236}">
              <a16:creationId xmlns:a16="http://schemas.microsoft.com/office/drawing/2014/main" id="{FCEE2ED9-7E1B-4F21-B956-C9D0093A36E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2" name="TextBox 3231">
          <a:extLst>
            <a:ext uri="{FF2B5EF4-FFF2-40B4-BE49-F238E27FC236}">
              <a16:creationId xmlns:a16="http://schemas.microsoft.com/office/drawing/2014/main" id="{7436C0D6-9212-4C2D-9228-28DF1525EEB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3" name="TextBox 1">
          <a:extLst>
            <a:ext uri="{FF2B5EF4-FFF2-40B4-BE49-F238E27FC236}">
              <a16:creationId xmlns:a16="http://schemas.microsoft.com/office/drawing/2014/main" id="{834A537D-D2FA-4A8A-B40A-968862428FB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4" name="TextBox 1">
          <a:extLst>
            <a:ext uri="{FF2B5EF4-FFF2-40B4-BE49-F238E27FC236}">
              <a16:creationId xmlns:a16="http://schemas.microsoft.com/office/drawing/2014/main" id="{0A3FAA9F-1EFA-4215-B1A6-97372E27B0F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5" name="TextBox 3234">
          <a:extLst>
            <a:ext uri="{FF2B5EF4-FFF2-40B4-BE49-F238E27FC236}">
              <a16:creationId xmlns:a16="http://schemas.microsoft.com/office/drawing/2014/main" id="{07EF3A02-E6EA-4DB3-9E31-408BBCD9AC6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6" name="TextBox 3235">
          <a:extLst>
            <a:ext uri="{FF2B5EF4-FFF2-40B4-BE49-F238E27FC236}">
              <a16:creationId xmlns:a16="http://schemas.microsoft.com/office/drawing/2014/main" id="{02732E01-7B63-4F59-95F2-B8A94866869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7" name="TextBox 1">
          <a:extLst>
            <a:ext uri="{FF2B5EF4-FFF2-40B4-BE49-F238E27FC236}">
              <a16:creationId xmlns:a16="http://schemas.microsoft.com/office/drawing/2014/main" id="{0ABF8909-3764-4581-B7FB-0F2ACD0993E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8" name="TextBox 1">
          <a:extLst>
            <a:ext uri="{FF2B5EF4-FFF2-40B4-BE49-F238E27FC236}">
              <a16:creationId xmlns:a16="http://schemas.microsoft.com/office/drawing/2014/main" id="{79F64FE1-C682-46A5-9178-F127491D765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39" name="TextBox 3238">
          <a:extLst>
            <a:ext uri="{FF2B5EF4-FFF2-40B4-BE49-F238E27FC236}">
              <a16:creationId xmlns:a16="http://schemas.microsoft.com/office/drawing/2014/main" id="{314F76B0-5AE8-4D15-96FE-FF9D86260FD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0" name="TextBox 3239">
          <a:extLst>
            <a:ext uri="{FF2B5EF4-FFF2-40B4-BE49-F238E27FC236}">
              <a16:creationId xmlns:a16="http://schemas.microsoft.com/office/drawing/2014/main" id="{EA61B508-8218-4557-A094-471A29BE10B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1" name="TextBox 3240">
          <a:extLst>
            <a:ext uri="{FF2B5EF4-FFF2-40B4-BE49-F238E27FC236}">
              <a16:creationId xmlns:a16="http://schemas.microsoft.com/office/drawing/2014/main" id="{B1FA00DD-50B0-4F5E-9AEF-D1388CA0700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2" name="TextBox 1">
          <a:extLst>
            <a:ext uri="{FF2B5EF4-FFF2-40B4-BE49-F238E27FC236}">
              <a16:creationId xmlns:a16="http://schemas.microsoft.com/office/drawing/2014/main" id="{ADA2DCCD-AD77-4D07-A396-BA9E3E17C0A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3" name="TextBox 1">
          <a:extLst>
            <a:ext uri="{FF2B5EF4-FFF2-40B4-BE49-F238E27FC236}">
              <a16:creationId xmlns:a16="http://schemas.microsoft.com/office/drawing/2014/main" id="{B75D6C5C-5061-4E51-B3A3-5F76F945184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4" name="TextBox 3243">
          <a:extLst>
            <a:ext uri="{FF2B5EF4-FFF2-40B4-BE49-F238E27FC236}">
              <a16:creationId xmlns:a16="http://schemas.microsoft.com/office/drawing/2014/main" id="{9F8D501C-CCF1-485D-B14D-EE3A9A3D30C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5" name="TextBox 3244">
          <a:extLst>
            <a:ext uri="{FF2B5EF4-FFF2-40B4-BE49-F238E27FC236}">
              <a16:creationId xmlns:a16="http://schemas.microsoft.com/office/drawing/2014/main" id="{C63AFEA1-3C46-4966-A07D-BAED2EC78CF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6" name="TextBox 1">
          <a:extLst>
            <a:ext uri="{FF2B5EF4-FFF2-40B4-BE49-F238E27FC236}">
              <a16:creationId xmlns:a16="http://schemas.microsoft.com/office/drawing/2014/main" id="{3815AD28-878C-4320-9088-B27A672181B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7" name="TextBox 1">
          <a:extLst>
            <a:ext uri="{FF2B5EF4-FFF2-40B4-BE49-F238E27FC236}">
              <a16:creationId xmlns:a16="http://schemas.microsoft.com/office/drawing/2014/main" id="{417FB49D-F487-4C5A-B125-81F644EF01D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8" name="TextBox 3247">
          <a:extLst>
            <a:ext uri="{FF2B5EF4-FFF2-40B4-BE49-F238E27FC236}">
              <a16:creationId xmlns:a16="http://schemas.microsoft.com/office/drawing/2014/main" id="{05029E70-3A11-44DA-84EA-5F5B3784C46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49" name="TextBox 3248">
          <a:extLst>
            <a:ext uri="{FF2B5EF4-FFF2-40B4-BE49-F238E27FC236}">
              <a16:creationId xmlns:a16="http://schemas.microsoft.com/office/drawing/2014/main" id="{D22711BE-49BA-45E9-9C89-4B2D30DDA70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0" name="TextBox 1">
          <a:extLst>
            <a:ext uri="{FF2B5EF4-FFF2-40B4-BE49-F238E27FC236}">
              <a16:creationId xmlns:a16="http://schemas.microsoft.com/office/drawing/2014/main" id="{8E2F992C-B52D-4983-BF7D-BF3723C841B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1" name="TextBox 1">
          <a:extLst>
            <a:ext uri="{FF2B5EF4-FFF2-40B4-BE49-F238E27FC236}">
              <a16:creationId xmlns:a16="http://schemas.microsoft.com/office/drawing/2014/main" id="{5557499B-C855-4CC8-BEED-7FAAB2BB588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2" name="TextBox 3251">
          <a:extLst>
            <a:ext uri="{FF2B5EF4-FFF2-40B4-BE49-F238E27FC236}">
              <a16:creationId xmlns:a16="http://schemas.microsoft.com/office/drawing/2014/main" id="{DD54B194-A01F-468C-9F2E-50EC6B6B367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3" name="TextBox 3252">
          <a:extLst>
            <a:ext uri="{FF2B5EF4-FFF2-40B4-BE49-F238E27FC236}">
              <a16:creationId xmlns:a16="http://schemas.microsoft.com/office/drawing/2014/main" id="{E92CEFD3-78DE-48CA-9CF3-0C8E007B22C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4" name="TextBox 1">
          <a:extLst>
            <a:ext uri="{FF2B5EF4-FFF2-40B4-BE49-F238E27FC236}">
              <a16:creationId xmlns:a16="http://schemas.microsoft.com/office/drawing/2014/main" id="{9DB47D9C-5568-40E9-AF8C-22A05574E23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5" name="TextBox 1">
          <a:extLst>
            <a:ext uri="{FF2B5EF4-FFF2-40B4-BE49-F238E27FC236}">
              <a16:creationId xmlns:a16="http://schemas.microsoft.com/office/drawing/2014/main" id="{97CF1965-E474-4BFF-BD6A-79DCFFC87C0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6" name="TextBox 3255">
          <a:extLst>
            <a:ext uri="{FF2B5EF4-FFF2-40B4-BE49-F238E27FC236}">
              <a16:creationId xmlns:a16="http://schemas.microsoft.com/office/drawing/2014/main" id="{FDA8A98A-4901-4B61-9153-80C30051A0F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7" name="TextBox 3256">
          <a:extLst>
            <a:ext uri="{FF2B5EF4-FFF2-40B4-BE49-F238E27FC236}">
              <a16:creationId xmlns:a16="http://schemas.microsoft.com/office/drawing/2014/main" id="{67E60442-43DC-4381-BB3B-423CA80DE32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8" name="TextBox 1">
          <a:extLst>
            <a:ext uri="{FF2B5EF4-FFF2-40B4-BE49-F238E27FC236}">
              <a16:creationId xmlns:a16="http://schemas.microsoft.com/office/drawing/2014/main" id="{D7787327-BDEF-4D9E-AD09-3D0FB58B19B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59" name="TextBox 1">
          <a:extLst>
            <a:ext uri="{FF2B5EF4-FFF2-40B4-BE49-F238E27FC236}">
              <a16:creationId xmlns:a16="http://schemas.microsoft.com/office/drawing/2014/main" id="{FDE0B7C4-9C85-401E-AE40-88128D89864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0" name="TextBox 3259">
          <a:extLst>
            <a:ext uri="{FF2B5EF4-FFF2-40B4-BE49-F238E27FC236}">
              <a16:creationId xmlns:a16="http://schemas.microsoft.com/office/drawing/2014/main" id="{C9AA4B28-1A6D-4042-9E65-A30FEAFF1ED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1" name="TextBox 3260">
          <a:extLst>
            <a:ext uri="{FF2B5EF4-FFF2-40B4-BE49-F238E27FC236}">
              <a16:creationId xmlns:a16="http://schemas.microsoft.com/office/drawing/2014/main" id="{213EDD08-3410-46BF-9531-6C1CB456B93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2" name="TextBox 1">
          <a:extLst>
            <a:ext uri="{FF2B5EF4-FFF2-40B4-BE49-F238E27FC236}">
              <a16:creationId xmlns:a16="http://schemas.microsoft.com/office/drawing/2014/main" id="{586FB7AD-8E79-4814-AB6C-B814D918DC3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3" name="TextBox 1">
          <a:extLst>
            <a:ext uri="{FF2B5EF4-FFF2-40B4-BE49-F238E27FC236}">
              <a16:creationId xmlns:a16="http://schemas.microsoft.com/office/drawing/2014/main" id="{BD63429D-5212-4F91-8734-3F79CF871DB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4" name="TextBox 3263">
          <a:extLst>
            <a:ext uri="{FF2B5EF4-FFF2-40B4-BE49-F238E27FC236}">
              <a16:creationId xmlns:a16="http://schemas.microsoft.com/office/drawing/2014/main" id="{A26D62FC-2484-419B-8D2A-67D3DFE8858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5" name="TextBox 3264">
          <a:extLst>
            <a:ext uri="{FF2B5EF4-FFF2-40B4-BE49-F238E27FC236}">
              <a16:creationId xmlns:a16="http://schemas.microsoft.com/office/drawing/2014/main" id="{A42EF880-B8B4-426E-813B-69494725FFA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6" name="TextBox 1">
          <a:extLst>
            <a:ext uri="{FF2B5EF4-FFF2-40B4-BE49-F238E27FC236}">
              <a16:creationId xmlns:a16="http://schemas.microsoft.com/office/drawing/2014/main" id="{863AB050-3E9E-4466-BC2C-48CECB4B44E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7" name="TextBox 1">
          <a:extLst>
            <a:ext uri="{FF2B5EF4-FFF2-40B4-BE49-F238E27FC236}">
              <a16:creationId xmlns:a16="http://schemas.microsoft.com/office/drawing/2014/main" id="{90E2915A-27F1-43D6-BB7B-2479F30E4C8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8" name="TextBox 3267">
          <a:extLst>
            <a:ext uri="{FF2B5EF4-FFF2-40B4-BE49-F238E27FC236}">
              <a16:creationId xmlns:a16="http://schemas.microsoft.com/office/drawing/2014/main" id="{D0E399FE-22CB-4DA6-BCC3-F86FBC33303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69" name="TextBox 3268">
          <a:extLst>
            <a:ext uri="{FF2B5EF4-FFF2-40B4-BE49-F238E27FC236}">
              <a16:creationId xmlns:a16="http://schemas.microsoft.com/office/drawing/2014/main" id="{62CBFD34-E96E-400C-8E47-B1DAD25120D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0" name="TextBox 1">
          <a:extLst>
            <a:ext uri="{FF2B5EF4-FFF2-40B4-BE49-F238E27FC236}">
              <a16:creationId xmlns:a16="http://schemas.microsoft.com/office/drawing/2014/main" id="{3658BBD7-09E9-4603-A6A0-8850DD17D2D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1" name="TextBox 1">
          <a:extLst>
            <a:ext uri="{FF2B5EF4-FFF2-40B4-BE49-F238E27FC236}">
              <a16:creationId xmlns:a16="http://schemas.microsoft.com/office/drawing/2014/main" id="{83D1C4C4-E0F2-43E7-BEE1-492EA1EF4E5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2" name="TextBox 3271">
          <a:extLst>
            <a:ext uri="{FF2B5EF4-FFF2-40B4-BE49-F238E27FC236}">
              <a16:creationId xmlns:a16="http://schemas.microsoft.com/office/drawing/2014/main" id="{D71274A4-7970-4F2B-BD72-783D62D8762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3" name="TextBox 3272">
          <a:extLst>
            <a:ext uri="{FF2B5EF4-FFF2-40B4-BE49-F238E27FC236}">
              <a16:creationId xmlns:a16="http://schemas.microsoft.com/office/drawing/2014/main" id="{2AAE0535-6557-466B-BC03-18EB4CB1FE7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4" name="TextBox 1">
          <a:extLst>
            <a:ext uri="{FF2B5EF4-FFF2-40B4-BE49-F238E27FC236}">
              <a16:creationId xmlns:a16="http://schemas.microsoft.com/office/drawing/2014/main" id="{D496EA56-E1DF-403F-97E6-1424818CE16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5" name="TextBox 1">
          <a:extLst>
            <a:ext uri="{FF2B5EF4-FFF2-40B4-BE49-F238E27FC236}">
              <a16:creationId xmlns:a16="http://schemas.microsoft.com/office/drawing/2014/main" id="{2DA61BB7-0ABD-426C-8D70-33BFEAFF232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6" name="TextBox 3275">
          <a:extLst>
            <a:ext uri="{FF2B5EF4-FFF2-40B4-BE49-F238E27FC236}">
              <a16:creationId xmlns:a16="http://schemas.microsoft.com/office/drawing/2014/main" id="{2519CDF6-2B26-4D88-94F7-7D8918C4EEF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7" name="TextBox 3276">
          <a:extLst>
            <a:ext uri="{FF2B5EF4-FFF2-40B4-BE49-F238E27FC236}">
              <a16:creationId xmlns:a16="http://schemas.microsoft.com/office/drawing/2014/main" id="{D21E68C1-AB33-4F4C-9D42-2AB1F3AC118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8" name="TextBox 1">
          <a:extLst>
            <a:ext uri="{FF2B5EF4-FFF2-40B4-BE49-F238E27FC236}">
              <a16:creationId xmlns:a16="http://schemas.microsoft.com/office/drawing/2014/main" id="{C4AB8BA0-CE18-4059-AB63-739664F1DC9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79" name="TextBox 1">
          <a:extLst>
            <a:ext uri="{FF2B5EF4-FFF2-40B4-BE49-F238E27FC236}">
              <a16:creationId xmlns:a16="http://schemas.microsoft.com/office/drawing/2014/main" id="{59F0DD61-B6F7-4DFA-A98B-290B6854DD0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0" name="TextBox 3279">
          <a:extLst>
            <a:ext uri="{FF2B5EF4-FFF2-40B4-BE49-F238E27FC236}">
              <a16:creationId xmlns:a16="http://schemas.microsoft.com/office/drawing/2014/main" id="{918E38BF-16DD-4B50-9701-35CF55DB1A7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1" name="TextBox 3280">
          <a:extLst>
            <a:ext uri="{FF2B5EF4-FFF2-40B4-BE49-F238E27FC236}">
              <a16:creationId xmlns:a16="http://schemas.microsoft.com/office/drawing/2014/main" id="{2BAECBC4-581E-48A8-94C8-E511BDF9B55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2" name="TextBox 1">
          <a:extLst>
            <a:ext uri="{FF2B5EF4-FFF2-40B4-BE49-F238E27FC236}">
              <a16:creationId xmlns:a16="http://schemas.microsoft.com/office/drawing/2014/main" id="{8A11B158-EF87-47F8-8A49-E9C7ABE442F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3" name="TextBox 1">
          <a:extLst>
            <a:ext uri="{FF2B5EF4-FFF2-40B4-BE49-F238E27FC236}">
              <a16:creationId xmlns:a16="http://schemas.microsoft.com/office/drawing/2014/main" id="{1ACD9D8A-BC30-4543-8A80-113D533FFCD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4" name="TextBox 3283">
          <a:extLst>
            <a:ext uri="{FF2B5EF4-FFF2-40B4-BE49-F238E27FC236}">
              <a16:creationId xmlns:a16="http://schemas.microsoft.com/office/drawing/2014/main" id="{428C417C-9442-4741-93F7-54F1E4358EF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5" name="TextBox 3284">
          <a:extLst>
            <a:ext uri="{FF2B5EF4-FFF2-40B4-BE49-F238E27FC236}">
              <a16:creationId xmlns:a16="http://schemas.microsoft.com/office/drawing/2014/main" id="{50C0FEC2-D9E7-411D-B4BA-09F1B9F786A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6" name="TextBox 3285">
          <a:extLst>
            <a:ext uri="{FF2B5EF4-FFF2-40B4-BE49-F238E27FC236}">
              <a16:creationId xmlns:a16="http://schemas.microsoft.com/office/drawing/2014/main" id="{32B6B8C5-5AE6-4EAB-AEF4-C97E13157A0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7" name="TextBox 1">
          <a:extLst>
            <a:ext uri="{FF2B5EF4-FFF2-40B4-BE49-F238E27FC236}">
              <a16:creationId xmlns:a16="http://schemas.microsoft.com/office/drawing/2014/main" id="{E0722932-7AE5-4B30-B5CE-672B36C2631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8" name="TextBox 1">
          <a:extLst>
            <a:ext uri="{FF2B5EF4-FFF2-40B4-BE49-F238E27FC236}">
              <a16:creationId xmlns:a16="http://schemas.microsoft.com/office/drawing/2014/main" id="{E10D9EB4-C12B-41CE-B161-B906D066C11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89" name="TextBox 3288">
          <a:extLst>
            <a:ext uri="{FF2B5EF4-FFF2-40B4-BE49-F238E27FC236}">
              <a16:creationId xmlns:a16="http://schemas.microsoft.com/office/drawing/2014/main" id="{A1B3401A-9AA5-4EAA-AC5A-4EF120471BB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0" name="TextBox 3289">
          <a:extLst>
            <a:ext uri="{FF2B5EF4-FFF2-40B4-BE49-F238E27FC236}">
              <a16:creationId xmlns:a16="http://schemas.microsoft.com/office/drawing/2014/main" id="{E482AFC7-03FC-454E-AFCD-8609DE2A415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1" name="TextBox 1">
          <a:extLst>
            <a:ext uri="{FF2B5EF4-FFF2-40B4-BE49-F238E27FC236}">
              <a16:creationId xmlns:a16="http://schemas.microsoft.com/office/drawing/2014/main" id="{C86DB6F6-83BA-48B2-8041-FBF16C021EC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2" name="TextBox 1">
          <a:extLst>
            <a:ext uri="{FF2B5EF4-FFF2-40B4-BE49-F238E27FC236}">
              <a16:creationId xmlns:a16="http://schemas.microsoft.com/office/drawing/2014/main" id="{27CA5296-52A7-43CF-9503-3E7AEA0330D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3" name="TextBox 3292">
          <a:extLst>
            <a:ext uri="{FF2B5EF4-FFF2-40B4-BE49-F238E27FC236}">
              <a16:creationId xmlns:a16="http://schemas.microsoft.com/office/drawing/2014/main" id="{6B570092-FB81-454F-9677-B9965722083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4" name="TextBox 3293">
          <a:extLst>
            <a:ext uri="{FF2B5EF4-FFF2-40B4-BE49-F238E27FC236}">
              <a16:creationId xmlns:a16="http://schemas.microsoft.com/office/drawing/2014/main" id="{1D7C498B-330D-47A3-89EA-A7E55BB2292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5" name="TextBox 1">
          <a:extLst>
            <a:ext uri="{FF2B5EF4-FFF2-40B4-BE49-F238E27FC236}">
              <a16:creationId xmlns:a16="http://schemas.microsoft.com/office/drawing/2014/main" id="{561CBD0F-57BB-4B82-B977-E874F825C1C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6" name="TextBox 1">
          <a:extLst>
            <a:ext uri="{FF2B5EF4-FFF2-40B4-BE49-F238E27FC236}">
              <a16:creationId xmlns:a16="http://schemas.microsoft.com/office/drawing/2014/main" id="{9FC4F25D-81A0-4B7A-AABD-9BCC6F35F8C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7" name="TextBox 3296">
          <a:extLst>
            <a:ext uri="{FF2B5EF4-FFF2-40B4-BE49-F238E27FC236}">
              <a16:creationId xmlns:a16="http://schemas.microsoft.com/office/drawing/2014/main" id="{3960A4E7-395B-429D-9DD2-435C4461B8C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8" name="TextBox 3297">
          <a:extLst>
            <a:ext uri="{FF2B5EF4-FFF2-40B4-BE49-F238E27FC236}">
              <a16:creationId xmlns:a16="http://schemas.microsoft.com/office/drawing/2014/main" id="{08F08D66-E2B2-4008-8DF2-074D74A831A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299" name="TextBox 1">
          <a:extLst>
            <a:ext uri="{FF2B5EF4-FFF2-40B4-BE49-F238E27FC236}">
              <a16:creationId xmlns:a16="http://schemas.microsoft.com/office/drawing/2014/main" id="{384E8189-1925-42CD-B2F8-D72F4770A63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0" name="TextBox 1">
          <a:extLst>
            <a:ext uri="{FF2B5EF4-FFF2-40B4-BE49-F238E27FC236}">
              <a16:creationId xmlns:a16="http://schemas.microsoft.com/office/drawing/2014/main" id="{F8465498-CEA4-4A08-8D72-F68EB80A57F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1" name="TextBox 3300">
          <a:extLst>
            <a:ext uri="{FF2B5EF4-FFF2-40B4-BE49-F238E27FC236}">
              <a16:creationId xmlns:a16="http://schemas.microsoft.com/office/drawing/2014/main" id="{B77D4D53-799D-446D-800D-3E4C4CC8AE8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2" name="TextBox 3301">
          <a:extLst>
            <a:ext uri="{FF2B5EF4-FFF2-40B4-BE49-F238E27FC236}">
              <a16:creationId xmlns:a16="http://schemas.microsoft.com/office/drawing/2014/main" id="{68E91BD7-E3E5-49A8-91ED-9E0C16A6FE4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3" name="TextBox 1">
          <a:extLst>
            <a:ext uri="{FF2B5EF4-FFF2-40B4-BE49-F238E27FC236}">
              <a16:creationId xmlns:a16="http://schemas.microsoft.com/office/drawing/2014/main" id="{1CEC92EB-D52F-4A05-ACC5-7413BD10B99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4" name="TextBox 1">
          <a:extLst>
            <a:ext uri="{FF2B5EF4-FFF2-40B4-BE49-F238E27FC236}">
              <a16:creationId xmlns:a16="http://schemas.microsoft.com/office/drawing/2014/main" id="{FB7C8640-74F8-48BF-A526-1064FD62D71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5" name="TextBox 3304">
          <a:extLst>
            <a:ext uri="{FF2B5EF4-FFF2-40B4-BE49-F238E27FC236}">
              <a16:creationId xmlns:a16="http://schemas.microsoft.com/office/drawing/2014/main" id="{FEAF99BF-48B4-4200-B506-8171615E90A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6" name="TextBox 3305">
          <a:extLst>
            <a:ext uri="{FF2B5EF4-FFF2-40B4-BE49-F238E27FC236}">
              <a16:creationId xmlns:a16="http://schemas.microsoft.com/office/drawing/2014/main" id="{6BC7A47F-9099-4C0C-805F-7C929A70B1A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7" name="TextBox 1">
          <a:extLst>
            <a:ext uri="{FF2B5EF4-FFF2-40B4-BE49-F238E27FC236}">
              <a16:creationId xmlns:a16="http://schemas.microsoft.com/office/drawing/2014/main" id="{E8FED178-C71F-4254-B4BA-D36989FB833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8" name="TextBox 1">
          <a:extLst>
            <a:ext uri="{FF2B5EF4-FFF2-40B4-BE49-F238E27FC236}">
              <a16:creationId xmlns:a16="http://schemas.microsoft.com/office/drawing/2014/main" id="{D7071923-2F9C-4A52-8D12-574382D9DA2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09" name="TextBox 3308">
          <a:extLst>
            <a:ext uri="{FF2B5EF4-FFF2-40B4-BE49-F238E27FC236}">
              <a16:creationId xmlns:a16="http://schemas.microsoft.com/office/drawing/2014/main" id="{F2462C43-A88A-4A19-9105-D50E296A041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0" name="TextBox 3309">
          <a:extLst>
            <a:ext uri="{FF2B5EF4-FFF2-40B4-BE49-F238E27FC236}">
              <a16:creationId xmlns:a16="http://schemas.microsoft.com/office/drawing/2014/main" id="{710DEEEE-B5B6-4271-BEC1-0060560B10D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1" name="TextBox 1">
          <a:extLst>
            <a:ext uri="{FF2B5EF4-FFF2-40B4-BE49-F238E27FC236}">
              <a16:creationId xmlns:a16="http://schemas.microsoft.com/office/drawing/2014/main" id="{0091F9F4-1E4D-4095-B8F9-A110F835FF1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2" name="TextBox 1">
          <a:extLst>
            <a:ext uri="{FF2B5EF4-FFF2-40B4-BE49-F238E27FC236}">
              <a16:creationId xmlns:a16="http://schemas.microsoft.com/office/drawing/2014/main" id="{6BE02FFB-3E89-4219-A962-1B2B79409C2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3" name="TextBox 3312">
          <a:extLst>
            <a:ext uri="{FF2B5EF4-FFF2-40B4-BE49-F238E27FC236}">
              <a16:creationId xmlns:a16="http://schemas.microsoft.com/office/drawing/2014/main" id="{3E4E72BB-7C33-4826-A451-CAABA5613FF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4" name="TextBox 3313">
          <a:extLst>
            <a:ext uri="{FF2B5EF4-FFF2-40B4-BE49-F238E27FC236}">
              <a16:creationId xmlns:a16="http://schemas.microsoft.com/office/drawing/2014/main" id="{8B6A7BAF-76B0-4CEE-9781-1582CCC238B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5" name="TextBox 1">
          <a:extLst>
            <a:ext uri="{FF2B5EF4-FFF2-40B4-BE49-F238E27FC236}">
              <a16:creationId xmlns:a16="http://schemas.microsoft.com/office/drawing/2014/main" id="{E3963109-AAC6-4D8B-866A-49E5618F170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6" name="TextBox 1">
          <a:extLst>
            <a:ext uri="{FF2B5EF4-FFF2-40B4-BE49-F238E27FC236}">
              <a16:creationId xmlns:a16="http://schemas.microsoft.com/office/drawing/2014/main" id="{9A62DCE4-7751-44B9-B616-A67659A4E6A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7" name="TextBox 3316">
          <a:extLst>
            <a:ext uri="{FF2B5EF4-FFF2-40B4-BE49-F238E27FC236}">
              <a16:creationId xmlns:a16="http://schemas.microsoft.com/office/drawing/2014/main" id="{7F748BDB-9AC7-42A0-A5E3-8235A2B3837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8" name="TextBox 3317">
          <a:extLst>
            <a:ext uri="{FF2B5EF4-FFF2-40B4-BE49-F238E27FC236}">
              <a16:creationId xmlns:a16="http://schemas.microsoft.com/office/drawing/2014/main" id="{82702CE8-9093-404A-95A7-1BEFB1AFDA1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19" name="TextBox 1">
          <a:extLst>
            <a:ext uri="{FF2B5EF4-FFF2-40B4-BE49-F238E27FC236}">
              <a16:creationId xmlns:a16="http://schemas.microsoft.com/office/drawing/2014/main" id="{4C26DC06-A440-4BC3-AB22-ED11467F411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0" name="TextBox 1">
          <a:extLst>
            <a:ext uri="{FF2B5EF4-FFF2-40B4-BE49-F238E27FC236}">
              <a16:creationId xmlns:a16="http://schemas.microsoft.com/office/drawing/2014/main" id="{E8AC3446-3D3E-4B33-985F-41F4F9EC9FB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1" name="TextBox 3320">
          <a:extLst>
            <a:ext uri="{FF2B5EF4-FFF2-40B4-BE49-F238E27FC236}">
              <a16:creationId xmlns:a16="http://schemas.microsoft.com/office/drawing/2014/main" id="{27705DFB-5931-412D-9B46-35EF7FAD80D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2" name="TextBox 1">
          <a:extLst>
            <a:ext uri="{FF2B5EF4-FFF2-40B4-BE49-F238E27FC236}">
              <a16:creationId xmlns:a16="http://schemas.microsoft.com/office/drawing/2014/main" id="{1CA8316C-3557-4F13-B58A-DEBFAC0CA93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3" name="TextBox 1">
          <a:extLst>
            <a:ext uri="{FF2B5EF4-FFF2-40B4-BE49-F238E27FC236}">
              <a16:creationId xmlns:a16="http://schemas.microsoft.com/office/drawing/2014/main" id="{7CDC7653-0DD0-4270-B891-ECF99772E9A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4" name="TextBox 3323">
          <a:extLst>
            <a:ext uri="{FF2B5EF4-FFF2-40B4-BE49-F238E27FC236}">
              <a16:creationId xmlns:a16="http://schemas.microsoft.com/office/drawing/2014/main" id="{940825F4-1A1A-476D-B6C5-A69EA8594AD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5" name="TextBox 1">
          <a:extLst>
            <a:ext uri="{FF2B5EF4-FFF2-40B4-BE49-F238E27FC236}">
              <a16:creationId xmlns:a16="http://schemas.microsoft.com/office/drawing/2014/main" id="{D0D23D92-5B1B-400D-A817-499975559C3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6" name="TextBox 3325">
          <a:extLst>
            <a:ext uri="{FF2B5EF4-FFF2-40B4-BE49-F238E27FC236}">
              <a16:creationId xmlns:a16="http://schemas.microsoft.com/office/drawing/2014/main" id="{5D86BF1B-6589-499A-861B-E2A2FC97996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7" name="TextBox 1">
          <a:extLst>
            <a:ext uri="{FF2B5EF4-FFF2-40B4-BE49-F238E27FC236}">
              <a16:creationId xmlns:a16="http://schemas.microsoft.com/office/drawing/2014/main" id="{91FBDED8-6E63-4CDB-AB83-A8E495C6BBC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8" name="TextBox 1">
          <a:extLst>
            <a:ext uri="{FF2B5EF4-FFF2-40B4-BE49-F238E27FC236}">
              <a16:creationId xmlns:a16="http://schemas.microsoft.com/office/drawing/2014/main" id="{AE720A45-CB74-4575-86D6-51BBDD586B2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29" name="TextBox 3328">
          <a:extLst>
            <a:ext uri="{FF2B5EF4-FFF2-40B4-BE49-F238E27FC236}">
              <a16:creationId xmlns:a16="http://schemas.microsoft.com/office/drawing/2014/main" id="{E1CCE534-1C55-47DA-A88B-65616175E5B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0" name="TextBox 3329">
          <a:extLst>
            <a:ext uri="{FF2B5EF4-FFF2-40B4-BE49-F238E27FC236}">
              <a16:creationId xmlns:a16="http://schemas.microsoft.com/office/drawing/2014/main" id="{81E7B44B-6D86-413F-892B-EFBC3C6FB91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1" name="TextBox 1">
          <a:extLst>
            <a:ext uri="{FF2B5EF4-FFF2-40B4-BE49-F238E27FC236}">
              <a16:creationId xmlns:a16="http://schemas.microsoft.com/office/drawing/2014/main" id="{3DF30A79-6890-4A3E-9EFB-32C0B149166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2" name="TextBox 1">
          <a:extLst>
            <a:ext uri="{FF2B5EF4-FFF2-40B4-BE49-F238E27FC236}">
              <a16:creationId xmlns:a16="http://schemas.microsoft.com/office/drawing/2014/main" id="{1BB1B9D1-33D1-48CE-9856-F837B2CA25F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3" name="TextBox 3332">
          <a:extLst>
            <a:ext uri="{FF2B5EF4-FFF2-40B4-BE49-F238E27FC236}">
              <a16:creationId xmlns:a16="http://schemas.microsoft.com/office/drawing/2014/main" id="{047CB2DA-6016-493E-BFED-27078BF74F5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4" name="TextBox 3333">
          <a:extLst>
            <a:ext uri="{FF2B5EF4-FFF2-40B4-BE49-F238E27FC236}">
              <a16:creationId xmlns:a16="http://schemas.microsoft.com/office/drawing/2014/main" id="{9F2C91BA-33E9-4443-BFF4-0E71AA8B8C8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5" name="TextBox 3334">
          <a:extLst>
            <a:ext uri="{FF2B5EF4-FFF2-40B4-BE49-F238E27FC236}">
              <a16:creationId xmlns:a16="http://schemas.microsoft.com/office/drawing/2014/main" id="{0D06417E-EC20-412E-B9CD-315BF9A08E7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6" name="TextBox 1">
          <a:extLst>
            <a:ext uri="{FF2B5EF4-FFF2-40B4-BE49-F238E27FC236}">
              <a16:creationId xmlns:a16="http://schemas.microsoft.com/office/drawing/2014/main" id="{C115E4A1-5CB0-4C09-B3C6-B40B533E198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7" name="TextBox 1">
          <a:extLst>
            <a:ext uri="{FF2B5EF4-FFF2-40B4-BE49-F238E27FC236}">
              <a16:creationId xmlns:a16="http://schemas.microsoft.com/office/drawing/2014/main" id="{A9B7E276-929C-4813-8E12-0A176E231D4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8" name="TextBox 3337">
          <a:extLst>
            <a:ext uri="{FF2B5EF4-FFF2-40B4-BE49-F238E27FC236}">
              <a16:creationId xmlns:a16="http://schemas.microsoft.com/office/drawing/2014/main" id="{4782C74C-F31D-43B1-AC47-3E5F94A36D7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39" name="TextBox 3338">
          <a:extLst>
            <a:ext uri="{FF2B5EF4-FFF2-40B4-BE49-F238E27FC236}">
              <a16:creationId xmlns:a16="http://schemas.microsoft.com/office/drawing/2014/main" id="{F16BBC0E-EA9E-4CBB-9A3F-BD5A3E7C8BC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0" name="TextBox 1">
          <a:extLst>
            <a:ext uri="{FF2B5EF4-FFF2-40B4-BE49-F238E27FC236}">
              <a16:creationId xmlns:a16="http://schemas.microsoft.com/office/drawing/2014/main" id="{DF913C96-E653-49EF-8B1F-CD8C4B8ECAB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1" name="TextBox 1">
          <a:extLst>
            <a:ext uri="{FF2B5EF4-FFF2-40B4-BE49-F238E27FC236}">
              <a16:creationId xmlns:a16="http://schemas.microsoft.com/office/drawing/2014/main" id="{ADD863DB-9D2C-45F3-BEC5-12D170E9AD2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2" name="TextBox 3341">
          <a:extLst>
            <a:ext uri="{FF2B5EF4-FFF2-40B4-BE49-F238E27FC236}">
              <a16:creationId xmlns:a16="http://schemas.microsoft.com/office/drawing/2014/main" id="{FE284355-BDCA-4F4F-938E-8951B09E577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3" name="TextBox 3342">
          <a:extLst>
            <a:ext uri="{FF2B5EF4-FFF2-40B4-BE49-F238E27FC236}">
              <a16:creationId xmlns:a16="http://schemas.microsoft.com/office/drawing/2014/main" id="{532A4288-B5EE-44C3-B326-AF97082624E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4" name="TextBox 1">
          <a:extLst>
            <a:ext uri="{FF2B5EF4-FFF2-40B4-BE49-F238E27FC236}">
              <a16:creationId xmlns:a16="http://schemas.microsoft.com/office/drawing/2014/main" id="{BD2BD318-4C4B-47B6-8905-25DFF3CC8E4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5" name="TextBox 1">
          <a:extLst>
            <a:ext uri="{FF2B5EF4-FFF2-40B4-BE49-F238E27FC236}">
              <a16:creationId xmlns:a16="http://schemas.microsoft.com/office/drawing/2014/main" id="{C5374938-C779-4AAB-9D5E-EC476AE63E9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6" name="TextBox 3345">
          <a:extLst>
            <a:ext uri="{FF2B5EF4-FFF2-40B4-BE49-F238E27FC236}">
              <a16:creationId xmlns:a16="http://schemas.microsoft.com/office/drawing/2014/main" id="{F20BDDCF-856E-496F-95FD-E9D96C24216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7" name="TextBox 3346">
          <a:extLst>
            <a:ext uri="{FF2B5EF4-FFF2-40B4-BE49-F238E27FC236}">
              <a16:creationId xmlns:a16="http://schemas.microsoft.com/office/drawing/2014/main" id="{5D234BCC-4491-47B4-ABD5-E6C8DEAE633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8" name="TextBox 1">
          <a:extLst>
            <a:ext uri="{FF2B5EF4-FFF2-40B4-BE49-F238E27FC236}">
              <a16:creationId xmlns:a16="http://schemas.microsoft.com/office/drawing/2014/main" id="{CE416CF7-BB31-4B5E-8EA6-D81AC6F079E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49" name="TextBox 1">
          <a:extLst>
            <a:ext uri="{FF2B5EF4-FFF2-40B4-BE49-F238E27FC236}">
              <a16:creationId xmlns:a16="http://schemas.microsoft.com/office/drawing/2014/main" id="{524FCC8E-D21E-468F-A599-10FD8E6A31E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0" name="TextBox 3349">
          <a:extLst>
            <a:ext uri="{FF2B5EF4-FFF2-40B4-BE49-F238E27FC236}">
              <a16:creationId xmlns:a16="http://schemas.microsoft.com/office/drawing/2014/main" id="{17EC3B5B-5420-4D5D-9D22-E00E0D0388A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1" name="TextBox 3350">
          <a:extLst>
            <a:ext uri="{FF2B5EF4-FFF2-40B4-BE49-F238E27FC236}">
              <a16:creationId xmlns:a16="http://schemas.microsoft.com/office/drawing/2014/main" id="{1117FEA1-DC0F-4BBE-8F78-CFC5DA8DCB3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2" name="TextBox 1">
          <a:extLst>
            <a:ext uri="{FF2B5EF4-FFF2-40B4-BE49-F238E27FC236}">
              <a16:creationId xmlns:a16="http://schemas.microsoft.com/office/drawing/2014/main" id="{5C598443-7566-4D89-9D34-DE6AC284F29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3" name="TextBox 1">
          <a:extLst>
            <a:ext uri="{FF2B5EF4-FFF2-40B4-BE49-F238E27FC236}">
              <a16:creationId xmlns:a16="http://schemas.microsoft.com/office/drawing/2014/main" id="{B863407E-7B57-4227-8A8D-112A2B0667A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4" name="TextBox 3353">
          <a:extLst>
            <a:ext uri="{FF2B5EF4-FFF2-40B4-BE49-F238E27FC236}">
              <a16:creationId xmlns:a16="http://schemas.microsoft.com/office/drawing/2014/main" id="{C3DA7DF9-AB5A-46D8-8979-F80C252BD2A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5" name="TextBox 3354">
          <a:extLst>
            <a:ext uri="{FF2B5EF4-FFF2-40B4-BE49-F238E27FC236}">
              <a16:creationId xmlns:a16="http://schemas.microsoft.com/office/drawing/2014/main" id="{DCC4AFDD-DBD8-4B34-BE20-1448182BD73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6" name="TextBox 1">
          <a:extLst>
            <a:ext uri="{FF2B5EF4-FFF2-40B4-BE49-F238E27FC236}">
              <a16:creationId xmlns:a16="http://schemas.microsoft.com/office/drawing/2014/main" id="{57093DF9-6034-4E96-8BCC-3C1046C66CE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7" name="TextBox 1">
          <a:extLst>
            <a:ext uri="{FF2B5EF4-FFF2-40B4-BE49-F238E27FC236}">
              <a16:creationId xmlns:a16="http://schemas.microsoft.com/office/drawing/2014/main" id="{A2579FEA-F918-475E-B3D3-27B5EDEC416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8" name="TextBox 3357">
          <a:extLst>
            <a:ext uri="{FF2B5EF4-FFF2-40B4-BE49-F238E27FC236}">
              <a16:creationId xmlns:a16="http://schemas.microsoft.com/office/drawing/2014/main" id="{EC4E05C9-5589-49B0-B759-BAD7F1EA771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59" name="TextBox 3358">
          <a:extLst>
            <a:ext uri="{FF2B5EF4-FFF2-40B4-BE49-F238E27FC236}">
              <a16:creationId xmlns:a16="http://schemas.microsoft.com/office/drawing/2014/main" id="{37591BD7-6B60-4D63-A7D9-FFEB834799C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0" name="TextBox 1">
          <a:extLst>
            <a:ext uri="{FF2B5EF4-FFF2-40B4-BE49-F238E27FC236}">
              <a16:creationId xmlns:a16="http://schemas.microsoft.com/office/drawing/2014/main" id="{6329F91C-8923-494B-A2D9-481840F03DB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1" name="TextBox 1">
          <a:extLst>
            <a:ext uri="{FF2B5EF4-FFF2-40B4-BE49-F238E27FC236}">
              <a16:creationId xmlns:a16="http://schemas.microsoft.com/office/drawing/2014/main" id="{D9DFD1AA-FED3-4D7D-98E8-D77EF13BE99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2" name="TextBox 3361">
          <a:extLst>
            <a:ext uri="{FF2B5EF4-FFF2-40B4-BE49-F238E27FC236}">
              <a16:creationId xmlns:a16="http://schemas.microsoft.com/office/drawing/2014/main" id="{2F8E3B85-41DB-475D-BC0A-207250A9C5C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3" name="TextBox 3362">
          <a:extLst>
            <a:ext uri="{FF2B5EF4-FFF2-40B4-BE49-F238E27FC236}">
              <a16:creationId xmlns:a16="http://schemas.microsoft.com/office/drawing/2014/main" id="{D26E37BD-3DC9-47D2-9DCB-1F211A60412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4" name="TextBox 1">
          <a:extLst>
            <a:ext uri="{FF2B5EF4-FFF2-40B4-BE49-F238E27FC236}">
              <a16:creationId xmlns:a16="http://schemas.microsoft.com/office/drawing/2014/main" id="{E1434790-5B4B-4161-B102-B5E35A4131E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5" name="TextBox 1">
          <a:extLst>
            <a:ext uri="{FF2B5EF4-FFF2-40B4-BE49-F238E27FC236}">
              <a16:creationId xmlns:a16="http://schemas.microsoft.com/office/drawing/2014/main" id="{1DF9AD33-F4E0-4E25-AFBE-953625FBAE0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6" name="TextBox 3365">
          <a:extLst>
            <a:ext uri="{FF2B5EF4-FFF2-40B4-BE49-F238E27FC236}">
              <a16:creationId xmlns:a16="http://schemas.microsoft.com/office/drawing/2014/main" id="{25A59B9A-2CD1-4D1F-A312-4245CD46BC7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7" name="TextBox 3366">
          <a:extLst>
            <a:ext uri="{FF2B5EF4-FFF2-40B4-BE49-F238E27FC236}">
              <a16:creationId xmlns:a16="http://schemas.microsoft.com/office/drawing/2014/main" id="{772AC1DF-BCD9-43F5-80B6-6925391EEB2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8" name="TextBox 1">
          <a:extLst>
            <a:ext uri="{FF2B5EF4-FFF2-40B4-BE49-F238E27FC236}">
              <a16:creationId xmlns:a16="http://schemas.microsoft.com/office/drawing/2014/main" id="{18883F1A-3520-40A5-ABBE-7DE74EEE2A8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69" name="TextBox 1">
          <a:extLst>
            <a:ext uri="{FF2B5EF4-FFF2-40B4-BE49-F238E27FC236}">
              <a16:creationId xmlns:a16="http://schemas.microsoft.com/office/drawing/2014/main" id="{62722313-CF7B-488E-BCAC-864D5A2A4CC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0" name="TextBox 3369">
          <a:extLst>
            <a:ext uri="{FF2B5EF4-FFF2-40B4-BE49-F238E27FC236}">
              <a16:creationId xmlns:a16="http://schemas.microsoft.com/office/drawing/2014/main" id="{AC003464-91BC-41A3-B9FC-622880924BF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1" name="TextBox 3370">
          <a:extLst>
            <a:ext uri="{FF2B5EF4-FFF2-40B4-BE49-F238E27FC236}">
              <a16:creationId xmlns:a16="http://schemas.microsoft.com/office/drawing/2014/main" id="{AA6B583A-D478-4E9F-B052-0C47740ED85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2" name="TextBox 3371">
          <a:extLst>
            <a:ext uri="{FF2B5EF4-FFF2-40B4-BE49-F238E27FC236}">
              <a16:creationId xmlns:a16="http://schemas.microsoft.com/office/drawing/2014/main" id="{8FC8A0B5-442B-46B3-AB52-670CBDFC555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3" name="TextBox 1">
          <a:extLst>
            <a:ext uri="{FF2B5EF4-FFF2-40B4-BE49-F238E27FC236}">
              <a16:creationId xmlns:a16="http://schemas.microsoft.com/office/drawing/2014/main" id="{43345DF3-0C24-49F6-9715-886B0A02124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4" name="TextBox 1">
          <a:extLst>
            <a:ext uri="{FF2B5EF4-FFF2-40B4-BE49-F238E27FC236}">
              <a16:creationId xmlns:a16="http://schemas.microsoft.com/office/drawing/2014/main" id="{17115353-E08B-4C4C-8665-A93EAAF1DA1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5" name="TextBox 3374">
          <a:extLst>
            <a:ext uri="{FF2B5EF4-FFF2-40B4-BE49-F238E27FC236}">
              <a16:creationId xmlns:a16="http://schemas.microsoft.com/office/drawing/2014/main" id="{899DE271-4E30-46E8-AA7D-74B81281F05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6" name="TextBox 3375">
          <a:extLst>
            <a:ext uri="{FF2B5EF4-FFF2-40B4-BE49-F238E27FC236}">
              <a16:creationId xmlns:a16="http://schemas.microsoft.com/office/drawing/2014/main" id="{96AC793F-4ABA-418F-874B-BB638AC4C21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7" name="TextBox 1">
          <a:extLst>
            <a:ext uri="{FF2B5EF4-FFF2-40B4-BE49-F238E27FC236}">
              <a16:creationId xmlns:a16="http://schemas.microsoft.com/office/drawing/2014/main" id="{346A6C2F-E880-4AB3-9635-D7C4859DDD8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8" name="TextBox 1">
          <a:extLst>
            <a:ext uri="{FF2B5EF4-FFF2-40B4-BE49-F238E27FC236}">
              <a16:creationId xmlns:a16="http://schemas.microsoft.com/office/drawing/2014/main" id="{17216A7C-4CE7-4C61-BFD6-536FFEA40FA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79" name="TextBox 3378">
          <a:extLst>
            <a:ext uri="{FF2B5EF4-FFF2-40B4-BE49-F238E27FC236}">
              <a16:creationId xmlns:a16="http://schemas.microsoft.com/office/drawing/2014/main" id="{F4C22E30-1E33-4E5F-AC62-CFAD533F97D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0" name="TextBox 3379">
          <a:extLst>
            <a:ext uri="{FF2B5EF4-FFF2-40B4-BE49-F238E27FC236}">
              <a16:creationId xmlns:a16="http://schemas.microsoft.com/office/drawing/2014/main" id="{B1E6397A-39DF-4A27-8432-F28C7F19D94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1" name="TextBox 1">
          <a:extLst>
            <a:ext uri="{FF2B5EF4-FFF2-40B4-BE49-F238E27FC236}">
              <a16:creationId xmlns:a16="http://schemas.microsoft.com/office/drawing/2014/main" id="{F2B7F786-3D28-481F-BADA-48984381DB4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2" name="TextBox 1">
          <a:extLst>
            <a:ext uri="{FF2B5EF4-FFF2-40B4-BE49-F238E27FC236}">
              <a16:creationId xmlns:a16="http://schemas.microsoft.com/office/drawing/2014/main" id="{72B111B2-613C-4B1D-998A-671BDB955ED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3" name="TextBox 3382">
          <a:extLst>
            <a:ext uri="{FF2B5EF4-FFF2-40B4-BE49-F238E27FC236}">
              <a16:creationId xmlns:a16="http://schemas.microsoft.com/office/drawing/2014/main" id="{E35ECB32-301C-4C86-AA78-9AF5374149B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4" name="TextBox 3383">
          <a:extLst>
            <a:ext uri="{FF2B5EF4-FFF2-40B4-BE49-F238E27FC236}">
              <a16:creationId xmlns:a16="http://schemas.microsoft.com/office/drawing/2014/main" id="{09E84B63-A25E-44D7-99BD-ACB33401684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5" name="TextBox 1">
          <a:extLst>
            <a:ext uri="{FF2B5EF4-FFF2-40B4-BE49-F238E27FC236}">
              <a16:creationId xmlns:a16="http://schemas.microsoft.com/office/drawing/2014/main" id="{F68899F7-E842-41B0-B71E-0DC834FEB01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6" name="TextBox 1">
          <a:extLst>
            <a:ext uri="{FF2B5EF4-FFF2-40B4-BE49-F238E27FC236}">
              <a16:creationId xmlns:a16="http://schemas.microsoft.com/office/drawing/2014/main" id="{0B7D11D9-84D2-45E1-98A4-7707C5566DF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7" name="TextBox 3386">
          <a:extLst>
            <a:ext uri="{FF2B5EF4-FFF2-40B4-BE49-F238E27FC236}">
              <a16:creationId xmlns:a16="http://schemas.microsoft.com/office/drawing/2014/main" id="{1BDC7038-3ADD-405B-9B88-FD30A308840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8" name="TextBox 3387">
          <a:extLst>
            <a:ext uri="{FF2B5EF4-FFF2-40B4-BE49-F238E27FC236}">
              <a16:creationId xmlns:a16="http://schemas.microsoft.com/office/drawing/2014/main" id="{FD3299CD-8965-4283-8709-A91E00BC014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89" name="TextBox 1">
          <a:extLst>
            <a:ext uri="{FF2B5EF4-FFF2-40B4-BE49-F238E27FC236}">
              <a16:creationId xmlns:a16="http://schemas.microsoft.com/office/drawing/2014/main" id="{D2CC9434-8C56-451C-8D92-2BE67910CFB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0" name="TextBox 1">
          <a:extLst>
            <a:ext uri="{FF2B5EF4-FFF2-40B4-BE49-F238E27FC236}">
              <a16:creationId xmlns:a16="http://schemas.microsoft.com/office/drawing/2014/main" id="{AF69B5BA-28FC-445D-BD66-9B3A4529B2E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1" name="TextBox 3390">
          <a:extLst>
            <a:ext uri="{FF2B5EF4-FFF2-40B4-BE49-F238E27FC236}">
              <a16:creationId xmlns:a16="http://schemas.microsoft.com/office/drawing/2014/main" id="{DFB89076-215B-4BBB-8D0E-BACA100B3F9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2" name="TextBox 3391">
          <a:extLst>
            <a:ext uri="{FF2B5EF4-FFF2-40B4-BE49-F238E27FC236}">
              <a16:creationId xmlns:a16="http://schemas.microsoft.com/office/drawing/2014/main" id="{77A41B1C-A424-4281-9DA5-30D2FA05096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3" name="TextBox 1">
          <a:extLst>
            <a:ext uri="{FF2B5EF4-FFF2-40B4-BE49-F238E27FC236}">
              <a16:creationId xmlns:a16="http://schemas.microsoft.com/office/drawing/2014/main" id="{B3AB3C76-A43D-4F51-9F8B-02FDA9AEAE7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4" name="TextBox 1">
          <a:extLst>
            <a:ext uri="{FF2B5EF4-FFF2-40B4-BE49-F238E27FC236}">
              <a16:creationId xmlns:a16="http://schemas.microsoft.com/office/drawing/2014/main" id="{0A350C9F-AB53-4D9E-A547-4414C450A93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5" name="TextBox 3394">
          <a:extLst>
            <a:ext uri="{FF2B5EF4-FFF2-40B4-BE49-F238E27FC236}">
              <a16:creationId xmlns:a16="http://schemas.microsoft.com/office/drawing/2014/main" id="{BBB478DD-90B6-4DD9-AFB6-A5DF33D1EA2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6" name="TextBox 3395">
          <a:extLst>
            <a:ext uri="{FF2B5EF4-FFF2-40B4-BE49-F238E27FC236}">
              <a16:creationId xmlns:a16="http://schemas.microsoft.com/office/drawing/2014/main" id="{AB05B8B4-F565-4286-A278-7B37DB7D48C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7" name="TextBox 1">
          <a:extLst>
            <a:ext uri="{FF2B5EF4-FFF2-40B4-BE49-F238E27FC236}">
              <a16:creationId xmlns:a16="http://schemas.microsoft.com/office/drawing/2014/main" id="{BAF98773-E41B-44A0-96DA-A4202F4803B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8" name="TextBox 1">
          <a:extLst>
            <a:ext uri="{FF2B5EF4-FFF2-40B4-BE49-F238E27FC236}">
              <a16:creationId xmlns:a16="http://schemas.microsoft.com/office/drawing/2014/main" id="{8F43DD6B-2BF1-408B-82BB-FC208B57A4F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399" name="TextBox 3398">
          <a:extLst>
            <a:ext uri="{FF2B5EF4-FFF2-40B4-BE49-F238E27FC236}">
              <a16:creationId xmlns:a16="http://schemas.microsoft.com/office/drawing/2014/main" id="{6D6E50CA-45E9-4A98-A189-0B1F1D7E993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0" name="TextBox 3399">
          <a:extLst>
            <a:ext uri="{FF2B5EF4-FFF2-40B4-BE49-F238E27FC236}">
              <a16:creationId xmlns:a16="http://schemas.microsoft.com/office/drawing/2014/main" id="{CEE1A0A9-E8F2-49A4-ABF5-FA138AAD719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1" name="TextBox 1">
          <a:extLst>
            <a:ext uri="{FF2B5EF4-FFF2-40B4-BE49-F238E27FC236}">
              <a16:creationId xmlns:a16="http://schemas.microsoft.com/office/drawing/2014/main" id="{AE24C4E8-9B09-4538-B2DC-E436D7F8FA2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2" name="TextBox 1">
          <a:extLst>
            <a:ext uri="{FF2B5EF4-FFF2-40B4-BE49-F238E27FC236}">
              <a16:creationId xmlns:a16="http://schemas.microsoft.com/office/drawing/2014/main" id="{3416B233-A8F4-4928-8787-990F1AB56A6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3" name="TextBox 3402">
          <a:extLst>
            <a:ext uri="{FF2B5EF4-FFF2-40B4-BE49-F238E27FC236}">
              <a16:creationId xmlns:a16="http://schemas.microsoft.com/office/drawing/2014/main" id="{AD4C4E5E-535F-4856-A6A0-77E2746D06D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4" name="TextBox 3403">
          <a:extLst>
            <a:ext uri="{FF2B5EF4-FFF2-40B4-BE49-F238E27FC236}">
              <a16:creationId xmlns:a16="http://schemas.microsoft.com/office/drawing/2014/main" id="{CDC38D4D-7FCC-471A-8679-886E3645783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5" name="TextBox 1">
          <a:extLst>
            <a:ext uri="{FF2B5EF4-FFF2-40B4-BE49-F238E27FC236}">
              <a16:creationId xmlns:a16="http://schemas.microsoft.com/office/drawing/2014/main" id="{6EA718C6-3846-4649-A7A9-E27C2B12370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6" name="TextBox 1">
          <a:extLst>
            <a:ext uri="{FF2B5EF4-FFF2-40B4-BE49-F238E27FC236}">
              <a16:creationId xmlns:a16="http://schemas.microsoft.com/office/drawing/2014/main" id="{8698CEA3-6C74-4153-B982-52550CEC475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7" name="TextBox 3406">
          <a:extLst>
            <a:ext uri="{FF2B5EF4-FFF2-40B4-BE49-F238E27FC236}">
              <a16:creationId xmlns:a16="http://schemas.microsoft.com/office/drawing/2014/main" id="{6A8A72AC-3187-4B5E-A252-B26712D5869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8" name="TextBox 3407">
          <a:extLst>
            <a:ext uri="{FF2B5EF4-FFF2-40B4-BE49-F238E27FC236}">
              <a16:creationId xmlns:a16="http://schemas.microsoft.com/office/drawing/2014/main" id="{009190D1-2AE6-4A05-B379-EAEBEC9DDE5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09" name="TextBox 1">
          <a:extLst>
            <a:ext uri="{FF2B5EF4-FFF2-40B4-BE49-F238E27FC236}">
              <a16:creationId xmlns:a16="http://schemas.microsoft.com/office/drawing/2014/main" id="{EE36D9D1-54D4-4A3A-B75C-5DD60167C8B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0" name="TextBox 1">
          <a:extLst>
            <a:ext uri="{FF2B5EF4-FFF2-40B4-BE49-F238E27FC236}">
              <a16:creationId xmlns:a16="http://schemas.microsoft.com/office/drawing/2014/main" id="{CF7E7D00-A7BA-49C7-AF49-370DF451679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1" name="TextBox 3410">
          <a:extLst>
            <a:ext uri="{FF2B5EF4-FFF2-40B4-BE49-F238E27FC236}">
              <a16:creationId xmlns:a16="http://schemas.microsoft.com/office/drawing/2014/main" id="{0931DD01-1666-49B9-930D-7A9C5C19333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2" name="TextBox 3411">
          <a:extLst>
            <a:ext uri="{FF2B5EF4-FFF2-40B4-BE49-F238E27FC236}">
              <a16:creationId xmlns:a16="http://schemas.microsoft.com/office/drawing/2014/main" id="{13EF65AC-6090-46C9-A51D-77E0092F466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3" name="TextBox 1">
          <a:extLst>
            <a:ext uri="{FF2B5EF4-FFF2-40B4-BE49-F238E27FC236}">
              <a16:creationId xmlns:a16="http://schemas.microsoft.com/office/drawing/2014/main" id="{E3EFDFDC-37E0-474F-B660-2B0F66D0B07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4" name="TextBox 1">
          <a:extLst>
            <a:ext uri="{FF2B5EF4-FFF2-40B4-BE49-F238E27FC236}">
              <a16:creationId xmlns:a16="http://schemas.microsoft.com/office/drawing/2014/main" id="{C666D0E0-2024-445A-9117-849BCA46E18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5" name="TextBox 3414">
          <a:extLst>
            <a:ext uri="{FF2B5EF4-FFF2-40B4-BE49-F238E27FC236}">
              <a16:creationId xmlns:a16="http://schemas.microsoft.com/office/drawing/2014/main" id="{0815F4BC-8705-47FA-9ECA-629FFF86F10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6" name="TextBox 3415">
          <a:extLst>
            <a:ext uri="{FF2B5EF4-FFF2-40B4-BE49-F238E27FC236}">
              <a16:creationId xmlns:a16="http://schemas.microsoft.com/office/drawing/2014/main" id="{69F69B7B-8BDF-43D6-923E-C86370ADFB1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7" name="TextBox 3416">
          <a:extLst>
            <a:ext uri="{FF2B5EF4-FFF2-40B4-BE49-F238E27FC236}">
              <a16:creationId xmlns:a16="http://schemas.microsoft.com/office/drawing/2014/main" id="{FA1B1F5B-F37A-4C1E-913E-882FE256688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8" name="TextBox 1">
          <a:extLst>
            <a:ext uri="{FF2B5EF4-FFF2-40B4-BE49-F238E27FC236}">
              <a16:creationId xmlns:a16="http://schemas.microsoft.com/office/drawing/2014/main" id="{FA2590E1-A3A4-4D6E-97D0-C30386F37E6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19" name="TextBox 1">
          <a:extLst>
            <a:ext uri="{FF2B5EF4-FFF2-40B4-BE49-F238E27FC236}">
              <a16:creationId xmlns:a16="http://schemas.microsoft.com/office/drawing/2014/main" id="{66194FD8-D605-465C-9FB1-16D6075E968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0" name="TextBox 3419">
          <a:extLst>
            <a:ext uri="{FF2B5EF4-FFF2-40B4-BE49-F238E27FC236}">
              <a16:creationId xmlns:a16="http://schemas.microsoft.com/office/drawing/2014/main" id="{66B07B95-0F1D-44B4-9E8D-B23E64B601F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1" name="TextBox 3420">
          <a:extLst>
            <a:ext uri="{FF2B5EF4-FFF2-40B4-BE49-F238E27FC236}">
              <a16:creationId xmlns:a16="http://schemas.microsoft.com/office/drawing/2014/main" id="{77D7C419-0DD9-46AA-BCE1-65D27A146AC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2" name="TextBox 1">
          <a:extLst>
            <a:ext uri="{FF2B5EF4-FFF2-40B4-BE49-F238E27FC236}">
              <a16:creationId xmlns:a16="http://schemas.microsoft.com/office/drawing/2014/main" id="{4C7DAF66-ED10-428F-AF06-F9D4A68CB8C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3" name="TextBox 1">
          <a:extLst>
            <a:ext uri="{FF2B5EF4-FFF2-40B4-BE49-F238E27FC236}">
              <a16:creationId xmlns:a16="http://schemas.microsoft.com/office/drawing/2014/main" id="{C46E61B0-62EF-49AC-8FE2-D70061AD60E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4" name="TextBox 3423">
          <a:extLst>
            <a:ext uri="{FF2B5EF4-FFF2-40B4-BE49-F238E27FC236}">
              <a16:creationId xmlns:a16="http://schemas.microsoft.com/office/drawing/2014/main" id="{8D1FC019-4283-473E-96B4-AE7825A84DD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5" name="TextBox 3424">
          <a:extLst>
            <a:ext uri="{FF2B5EF4-FFF2-40B4-BE49-F238E27FC236}">
              <a16:creationId xmlns:a16="http://schemas.microsoft.com/office/drawing/2014/main" id="{B9E45285-5079-4DAF-BAED-C422B56A62C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6" name="TextBox 1">
          <a:extLst>
            <a:ext uri="{FF2B5EF4-FFF2-40B4-BE49-F238E27FC236}">
              <a16:creationId xmlns:a16="http://schemas.microsoft.com/office/drawing/2014/main" id="{49B26556-26B8-4AB5-BF92-839DE18C9A8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7" name="TextBox 1">
          <a:extLst>
            <a:ext uri="{FF2B5EF4-FFF2-40B4-BE49-F238E27FC236}">
              <a16:creationId xmlns:a16="http://schemas.microsoft.com/office/drawing/2014/main" id="{348E734B-C8D8-455A-BECD-8F15ABE738B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8" name="TextBox 3427">
          <a:extLst>
            <a:ext uri="{FF2B5EF4-FFF2-40B4-BE49-F238E27FC236}">
              <a16:creationId xmlns:a16="http://schemas.microsoft.com/office/drawing/2014/main" id="{F9BE9DB4-06AF-4D62-AF77-5AA63A98130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29" name="TextBox 3428">
          <a:extLst>
            <a:ext uri="{FF2B5EF4-FFF2-40B4-BE49-F238E27FC236}">
              <a16:creationId xmlns:a16="http://schemas.microsoft.com/office/drawing/2014/main" id="{44AD5BEB-B40A-4B81-88FF-8071EF06B09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0" name="TextBox 1">
          <a:extLst>
            <a:ext uri="{FF2B5EF4-FFF2-40B4-BE49-F238E27FC236}">
              <a16:creationId xmlns:a16="http://schemas.microsoft.com/office/drawing/2014/main" id="{2CAB75BE-C8A2-4E23-8381-C20C2C71858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1" name="TextBox 1">
          <a:extLst>
            <a:ext uri="{FF2B5EF4-FFF2-40B4-BE49-F238E27FC236}">
              <a16:creationId xmlns:a16="http://schemas.microsoft.com/office/drawing/2014/main" id="{B49312EA-1D68-41D3-B708-E418CE1D29F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2" name="TextBox 3431">
          <a:extLst>
            <a:ext uri="{FF2B5EF4-FFF2-40B4-BE49-F238E27FC236}">
              <a16:creationId xmlns:a16="http://schemas.microsoft.com/office/drawing/2014/main" id="{1EA1425B-4B84-4159-A455-72F8EC23A14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3" name="TextBox 3432">
          <a:extLst>
            <a:ext uri="{FF2B5EF4-FFF2-40B4-BE49-F238E27FC236}">
              <a16:creationId xmlns:a16="http://schemas.microsoft.com/office/drawing/2014/main" id="{A918B5FF-B06F-4415-B367-4BAF1ADA1EC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4" name="TextBox 1">
          <a:extLst>
            <a:ext uri="{FF2B5EF4-FFF2-40B4-BE49-F238E27FC236}">
              <a16:creationId xmlns:a16="http://schemas.microsoft.com/office/drawing/2014/main" id="{2D91F286-CD93-44D1-8433-DBECFBDA452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5" name="TextBox 1">
          <a:extLst>
            <a:ext uri="{FF2B5EF4-FFF2-40B4-BE49-F238E27FC236}">
              <a16:creationId xmlns:a16="http://schemas.microsoft.com/office/drawing/2014/main" id="{238DA1E6-8A76-4FF8-9CE1-4869CF7ABD7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6" name="TextBox 3435">
          <a:extLst>
            <a:ext uri="{FF2B5EF4-FFF2-40B4-BE49-F238E27FC236}">
              <a16:creationId xmlns:a16="http://schemas.microsoft.com/office/drawing/2014/main" id="{A43E6E3F-B874-426A-A187-3C30728B678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7" name="TextBox 3436">
          <a:extLst>
            <a:ext uri="{FF2B5EF4-FFF2-40B4-BE49-F238E27FC236}">
              <a16:creationId xmlns:a16="http://schemas.microsoft.com/office/drawing/2014/main" id="{47AEF625-1217-483A-AFAA-2F7F8FE944E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8" name="TextBox 1">
          <a:extLst>
            <a:ext uri="{FF2B5EF4-FFF2-40B4-BE49-F238E27FC236}">
              <a16:creationId xmlns:a16="http://schemas.microsoft.com/office/drawing/2014/main" id="{89199C6C-DAB0-4E8C-9E1C-FFD3B884C90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39" name="TextBox 1">
          <a:extLst>
            <a:ext uri="{FF2B5EF4-FFF2-40B4-BE49-F238E27FC236}">
              <a16:creationId xmlns:a16="http://schemas.microsoft.com/office/drawing/2014/main" id="{B00427E7-1114-452B-8E00-ADAF212C094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0" name="TextBox 3439">
          <a:extLst>
            <a:ext uri="{FF2B5EF4-FFF2-40B4-BE49-F238E27FC236}">
              <a16:creationId xmlns:a16="http://schemas.microsoft.com/office/drawing/2014/main" id="{5CB36080-FB37-4FA0-B98C-DD105DA7D80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1" name="TextBox 3440">
          <a:extLst>
            <a:ext uri="{FF2B5EF4-FFF2-40B4-BE49-F238E27FC236}">
              <a16:creationId xmlns:a16="http://schemas.microsoft.com/office/drawing/2014/main" id="{29463681-9A4F-4088-AD0D-9116B5D33FE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2" name="TextBox 1">
          <a:extLst>
            <a:ext uri="{FF2B5EF4-FFF2-40B4-BE49-F238E27FC236}">
              <a16:creationId xmlns:a16="http://schemas.microsoft.com/office/drawing/2014/main" id="{B0D3E9FD-124F-41EC-B259-478891DD036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3" name="TextBox 1">
          <a:extLst>
            <a:ext uri="{FF2B5EF4-FFF2-40B4-BE49-F238E27FC236}">
              <a16:creationId xmlns:a16="http://schemas.microsoft.com/office/drawing/2014/main" id="{2B5C54E5-8519-409D-91F4-DE7D4287923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4" name="TextBox 3443">
          <a:extLst>
            <a:ext uri="{FF2B5EF4-FFF2-40B4-BE49-F238E27FC236}">
              <a16:creationId xmlns:a16="http://schemas.microsoft.com/office/drawing/2014/main" id="{B4185472-791F-43BC-BF22-1323015BD7D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5" name="TextBox 3444">
          <a:extLst>
            <a:ext uri="{FF2B5EF4-FFF2-40B4-BE49-F238E27FC236}">
              <a16:creationId xmlns:a16="http://schemas.microsoft.com/office/drawing/2014/main" id="{E0CEF3E4-7932-4F04-9FCC-FB29F29CD76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6" name="TextBox 1">
          <a:extLst>
            <a:ext uri="{FF2B5EF4-FFF2-40B4-BE49-F238E27FC236}">
              <a16:creationId xmlns:a16="http://schemas.microsoft.com/office/drawing/2014/main" id="{26C00DC6-9359-4020-9CC4-825D366D300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7" name="TextBox 1">
          <a:extLst>
            <a:ext uri="{FF2B5EF4-FFF2-40B4-BE49-F238E27FC236}">
              <a16:creationId xmlns:a16="http://schemas.microsoft.com/office/drawing/2014/main" id="{47F44E33-A62F-41B7-AA9D-75787C99C8A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8" name="TextBox 3447">
          <a:extLst>
            <a:ext uri="{FF2B5EF4-FFF2-40B4-BE49-F238E27FC236}">
              <a16:creationId xmlns:a16="http://schemas.microsoft.com/office/drawing/2014/main" id="{2F609C1B-8E4A-4D69-B6F8-7FFDD2BA937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49" name="TextBox 3448">
          <a:extLst>
            <a:ext uri="{FF2B5EF4-FFF2-40B4-BE49-F238E27FC236}">
              <a16:creationId xmlns:a16="http://schemas.microsoft.com/office/drawing/2014/main" id="{58724D23-DDE9-4F4F-A3F9-14AF7750F68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0" name="TextBox 1">
          <a:extLst>
            <a:ext uri="{FF2B5EF4-FFF2-40B4-BE49-F238E27FC236}">
              <a16:creationId xmlns:a16="http://schemas.microsoft.com/office/drawing/2014/main" id="{AF99347A-CC0C-4595-929B-B5233123A8F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1" name="TextBox 1">
          <a:extLst>
            <a:ext uri="{FF2B5EF4-FFF2-40B4-BE49-F238E27FC236}">
              <a16:creationId xmlns:a16="http://schemas.microsoft.com/office/drawing/2014/main" id="{8AE1038A-1910-4D91-B92D-0EF879B613C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2" name="TextBox 3451">
          <a:extLst>
            <a:ext uri="{FF2B5EF4-FFF2-40B4-BE49-F238E27FC236}">
              <a16:creationId xmlns:a16="http://schemas.microsoft.com/office/drawing/2014/main" id="{BC4E69A8-CB5F-489C-B563-2C3F722AC1C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3" name="TextBox 1">
          <a:extLst>
            <a:ext uri="{FF2B5EF4-FFF2-40B4-BE49-F238E27FC236}">
              <a16:creationId xmlns:a16="http://schemas.microsoft.com/office/drawing/2014/main" id="{CA6E0DDE-8144-4B13-B080-CC95973754D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4" name="TextBox 1">
          <a:extLst>
            <a:ext uri="{FF2B5EF4-FFF2-40B4-BE49-F238E27FC236}">
              <a16:creationId xmlns:a16="http://schemas.microsoft.com/office/drawing/2014/main" id="{A3453C50-C495-496C-B7E2-1771EC3C202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5" name="TextBox 3454">
          <a:extLst>
            <a:ext uri="{FF2B5EF4-FFF2-40B4-BE49-F238E27FC236}">
              <a16:creationId xmlns:a16="http://schemas.microsoft.com/office/drawing/2014/main" id="{A56BC22F-D48B-4E9A-8AA4-92208D6CA47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6" name="TextBox 1">
          <a:extLst>
            <a:ext uri="{FF2B5EF4-FFF2-40B4-BE49-F238E27FC236}">
              <a16:creationId xmlns:a16="http://schemas.microsoft.com/office/drawing/2014/main" id="{97FC1D66-2D71-4D7D-8228-3C7AD1C4291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7" name="TextBox 3456">
          <a:extLst>
            <a:ext uri="{FF2B5EF4-FFF2-40B4-BE49-F238E27FC236}">
              <a16:creationId xmlns:a16="http://schemas.microsoft.com/office/drawing/2014/main" id="{AD5CCAB7-5540-4FB3-8311-19BB38DF811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8" name="TextBox 1">
          <a:extLst>
            <a:ext uri="{FF2B5EF4-FFF2-40B4-BE49-F238E27FC236}">
              <a16:creationId xmlns:a16="http://schemas.microsoft.com/office/drawing/2014/main" id="{81B90C46-0D62-4CE8-8111-9A7D4D24EDE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59" name="TextBox 1">
          <a:extLst>
            <a:ext uri="{FF2B5EF4-FFF2-40B4-BE49-F238E27FC236}">
              <a16:creationId xmlns:a16="http://schemas.microsoft.com/office/drawing/2014/main" id="{1E7A562E-855E-4F78-B5A9-702FA796104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0" name="TextBox 3459">
          <a:extLst>
            <a:ext uri="{FF2B5EF4-FFF2-40B4-BE49-F238E27FC236}">
              <a16:creationId xmlns:a16="http://schemas.microsoft.com/office/drawing/2014/main" id="{67286E64-0698-46E7-B268-2B3D77FA455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1" name="TextBox 3460">
          <a:extLst>
            <a:ext uri="{FF2B5EF4-FFF2-40B4-BE49-F238E27FC236}">
              <a16:creationId xmlns:a16="http://schemas.microsoft.com/office/drawing/2014/main" id="{73EE11F8-42E9-4EB3-A491-FA68C57981D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2" name="TextBox 1">
          <a:extLst>
            <a:ext uri="{FF2B5EF4-FFF2-40B4-BE49-F238E27FC236}">
              <a16:creationId xmlns:a16="http://schemas.microsoft.com/office/drawing/2014/main" id="{A7720AA6-46A4-466E-A08F-B0469D5D8F0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3" name="TextBox 1">
          <a:extLst>
            <a:ext uri="{FF2B5EF4-FFF2-40B4-BE49-F238E27FC236}">
              <a16:creationId xmlns:a16="http://schemas.microsoft.com/office/drawing/2014/main" id="{31ADB0B6-6708-4ABA-AD0D-9DF5E865D55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4" name="TextBox 3463">
          <a:extLst>
            <a:ext uri="{FF2B5EF4-FFF2-40B4-BE49-F238E27FC236}">
              <a16:creationId xmlns:a16="http://schemas.microsoft.com/office/drawing/2014/main" id="{0F30D7FB-8AD3-4CA6-A3D7-C4E3478EE64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5" name="TextBox 3464">
          <a:extLst>
            <a:ext uri="{FF2B5EF4-FFF2-40B4-BE49-F238E27FC236}">
              <a16:creationId xmlns:a16="http://schemas.microsoft.com/office/drawing/2014/main" id="{76A3D4E0-71E2-43FB-AE6A-2111F9A3CA8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6" name="TextBox 3465">
          <a:extLst>
            <a:ext uri="{FF2B5EF4-FFF2-40B4-BE49-F238E27FC236}">
              <a16:creationId xmlns:a16="http://schemas.microsoft.com/office/drawing/2014/main" id="{C3393A71-CFEE-421B-BA43-2B9CCE01594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7" name="TextBox 1">
          <a:extLst>
            <a:ext uri="{FF2B5EF4-FFF2-40B4-BE49-F238E27FC236}">
              <a16:creationId xmlns:a16="http://schemas.microsoft.com/office/drawing/2014/main" id="{F0D7B78E-D983-4037-90C7-26CAB80A0D4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8" name="TextBox 1">
          <a:extLst>
            <a:ext uri="{FF2B5EF4-FFF2-40B4-BE49-F238E27FC236}">
              <a16:creationId xmlns:a16="http://schemas.microsoft.com/office/drawing/2014/main" id="{F9FD4247-8A67-44F2-ADC4-C7E5048F6FE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69" name="TextBox 3468">
          <a:extLst>
            <a:ext uri="{FF2B5EF4-FFF2-40B4-BE49-F238E27FC236}">
              <a16:creationId xmlns:a16="http://schemas.microsoft.com/office/drawing/2014/main" id="{3EDB5E74-44D5-48FE-9FE1-AE44566EFB8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0" name="TextBox 3469">
          <a:extLst>
            <a:ext uri="{FF2B5EF4-FFF2-40B4-BE49-F238E27FC236}">
              <a16:creationId xmlns:a16="http://schemas.microsoft.com/office/drawing/2014/main" id="{F173E6B0-4FA3-412F-B47E-A82C5941BD8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1" name="TextBox 1">
          <a:extLst>
            <a:ext uri="{FF2B5EF4-FFF2-40B4-BE49-F238E27FC236}">
              <a16:creationId xmlns:a16="http://schemas.microsoft.com/office/drawing/2014/main" id="{C22C0C84-9507-4AA9-B736-8C9C6522831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2" name="TextBox 1">
          <a:extLst>
            <a:ext uri="{FF2B5EF4-FFF2-40B4-BE49-F238E27FC236}">
              <a16:creationId xmlns:a16="http://schemas.microsoft.com/office/drawing/2014/main" id="{A351CD57-7D2A-4DBA-B1F0-97E093B51DE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3" name="TextBox 3472">
          <a:extLst>
            <a:ext uri="{FF2B5EF4-FFF2-40B4-BE49-F238E27FC236}">
              <a16:creationId xmlns:a16="http://schemas.microsoft.com/office/drawing/2014/main" id="{A0A004FF-4A71-4BB7-B269-5C43348C59C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4" name="TextBox 3473">
          <a:extLst>
            <a:ext uri="{FF2B5EF4-FFF2-40B4-BE49-F238E27FC236}">
              <a16:creationId xmlns:a16="http://schemas.microsoft.com/office/drawing/2014/main" id="{BE2F0BEB-6D14-4AE4-AAD9-C9B3F66A8A5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5" name="TextBox 1">
          <a:extLst>
            <a:ext uri="{FF2B5EF4-FFF2-40B4-BE49-F238E27FC236}">
              <a16:creationId xmlns:a16="http://schemas.microsoft.com/office/drawing/2014/main" id="{74202626-D07B-4E75-9D20-A1710D959FC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6" name="TextBox 1">
          <a:extLst>
            <a:ext uri="{FF2B5EF4-FFF2-40B4-BE49-F238E27FC236}">
              <a16:creationId xmlns:a16="http://schemas.microsoft.com/office/drawing/2014/main" id="{611940CB-FC98-460D-9B93-FC31369816B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7" name="TextBox 3476">
          <a:extLst>
            <a:ext uri="{FF2B5EF4-FFF2-40B4-BE49-F238E27FC236}">
              <a16:creationId xmlns:a16="http://schemas.microsoft.com/office/drawing/2014/main" id="{9181DC48-8280-4E7B-A59E-CA4D633EC87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8" name="TextBox 3477">
          <a:extLst>
            <a:ext uri="{FF2B5EF4-FFF2-40B4-BE49-F238E27FC236}">
              <a16:creationId xmlns:a16="http://schemas.microsoft.com/office/drawing/2014/main" id="{AA8E1CC5-B28D-4678-BCF4-141A03F092C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79" name="TextBox 1">
          <a:extLst>
            <a:ext uri="{FF2B5EF4-FFF2-40B4-BE49-F238E27FC236}">
              <a16:creationId xmlns:a16="http://schemas.microsoft.com/office/drawing/2014/main" id="{3A3FA075-1EF8-47E5-8BBE-36DF2946C67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0" name="TextBox 1">
          <a:extLst>
            <a:ext uri="{FF2B5EF4-FFF2-40B4-BE49-F238E27FC236}">
              <a16:creationId xmlns:a16="http://schemas.microsoft.com/office/drawing/2014/main" id="{1FB1DF57-CF80-448B-8D7D-AA0368DF622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1" name="TextBox 3480">
          <a:extLst>
            <a:ext uri="{FF2B5EF4-FFF2-40B4-BE49-F238E27FC236}">
              <a16:creationId xmlns:a16="http://schemas.microsoft.com/office/drawing/2014/main" id="{633A47FE-C52A-479F-ADDB-FA92D368411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2" name="TextBox 3481">
          <a:extLst>
            <a:ext uri="{FF2B5EF4-FFF2-40B4-BE49-F238E27FC236}">
              <a16:creationId xmlns:a16="http://schemas.microsoft.com/office/drawing/2014/main" id="{5F753551-6A78-4D86-94E4-D7D93985BB5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3" name="TextBox 1">
          <a:extLst>
            <a:ext uri="{FF2B5EF4-FFF2-40B4-BE49-F238E27FC236}">
              <a16:creationId xmlns:a16="http://schemas.microsoft.com/office/drawing/2014/main" id="{133444B8-F955-4D62-920C-9FAC9CC455A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4" name="TextBox 1">
          <a:extLst>
            <a:ext uri="{FF2B5EF4-FFF2-40B4-BE49-F238E27FC236}">
              <a16:creationId xmlns:a16="http://schemas.microsoft.com/office/drawing/2014/main" id="{1DF24BD1-4F5C-4DF5-927E-D54F4E6137C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5" name="TextBox 3484">
          <a:extLst>
            <a:ext uri="{FF2B5EF4-FFF2-40B4-BE49-F238E27FC236}">
              <a16:creationId xmlns:a16="http://schemas.microsoft.com/office/drawing/2014/main" id="{7A02048E-C524-4BA5-8822-DC076C3AF03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6" name="TextBox 3485">
          <a:extLst>
            <a:ext uri="{FF2B5EF4-FFF2-40B4-BE49-F238E27FC236}">
              <a16:creationId xmlns:a16="http://schemas.microsoft.com/office/drawing/2014/main" id="{DE2F26B1-A5CE-4FBF-8E7A-ACE63F4E521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7" name="TextBox 1">
          <a:extLst>
            <a:ext uri="{FF2B5EF4-FFF2-40B4-BE49-F238E27FC236}">
              <a16:creationId xmlns:a16="http://schemas.microsoft.com/office/drawing/2014/main" id="{BDA9F983-B51B-45E5-BDC2-C52236FD5E4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8" name="TextBox 1">
          <a:extLst>
            <a:ext uri="{FF2B5EF4-FFF2-40B4-BE49-F238E27FC236}">
              <a16:creationId xmlns:a16="http://schemas.microsoft.com/office/drawing/2014/main" id="{6C4E9B5A-D1E4-4195-A5FF-FDF6F1D803F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89" name="TextBox 3488">
          <a:extLst>
            <a:ext uri="{FF2B5EF4-FFF2-40B4-BE49-F238E27FC236}">
              <a16:creationId xmlns:a16="http://schemas.microsoft.com/office/drawing/2014/main" id="{112E69A3-94CF-4A9F-93C7-0EC16F11C8D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0" name="TextBox 3489">
          <a:extLst>
            <a:ext uri="{FF2B5EF4-FFF2-40B4-BE49-F238E27FC236}">
              <a16:creationId xmlns:a16="http://schemas.microsoft.com/office/drawing/2014/main" id="{EAAEB2EB-51DF-4F3A-B15B-0830CFB3040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1" name="TextBox 1">
          <a:extLst>
            <a:ext uri="{FF2B5EF4-FFF2-40B4-BE49-F238E27FC236}">
              <a16:creationId xmlns:a16="http://schemas.microsoft.com/office/drawing/2014/main" id="{6ECC7B5E-2F12-4943-BCE3-33DF059ADFF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2" name="TextBox 1">
          <a:extLst>
            <a:ext uri="{FF2B5EF4-FFF2-40B4-BE49-F238E27FC236}">
              <a16:creationId xmlns:a16="http://schemas.microsoft.com/office/drawing/2014/main" id="{3DDEBC41-E758-4DFA-AFF7-5AC0A269D60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3" name="TextBox 3492">
          <a:extLst>
            <a:ext uri="{FF2B5EF4-FFF2-40B4-BE49-F238E27FC236}">
              <a16:creationId xmlns:a16="http://schemas.microsoft.com/office/drawing/2014/main" id="{21353465-AD22-4FDB-89D0-FD16E24B97F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4" name="TextBox 3493">
          <a:extLst>
            <a:ext uri="{FF2B5EF4-FFF2-40B4-BE49-F238E27FC236}">
              <a16:creationId xmlns:a16="http://schemas.microsoft.com/office/drawing/2014/main" id="{32946665-DA11-4D97-A9EB-BAE7A70F691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5" name="TextBox 1">
          <a:extLst>
            <a:ext uri="{FF2B5EF4-FFF2-40B4-BE49-F238E27FC236}">
              <a16:creationId xmlns:a16="http://schemas.microsoft.com/office/drawing/2014/main" id="{F1ACEAE7-B52B-4775-96E9-4C912EC54D8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6" name="TextBox 1">
          <a:extLst>
            <a:ext uri="{FF2B5EF4-FFF2-40B4-BE49-F238E27FC236}">
              <a16:creationId xmlns:a16="http://schemas.microsoft.com/office/drawing/2014/main" id="{D8876E81-1D52-4DA2-B4B5-C094095723A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7" name="TextBox 3496">
          <a:extLst>
            <a:ext uri="{FF2B5EF4-FFF2-40B4-BE49-F238E27FC236}">
              <a16:creationId xmlns:a16="http://schemas.microsoft.com/office/drawing/2014/main" id="{FB910E0A-F587-4179-B36C-C6118FBA1DE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8" name="TextBox 3497">
          <a:extLst>
            <a:ext uri="{FF2B5EF4-FFF2-40B4-BE49-F238E27FC236}">
              <a16:creationId xmlns:a16="http://schemas.microsoft.com/office/drawing/2014/main" id="{CD2791AA-2173-4E96-9B68-A9E64CA6BA4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499" name="TextBox 1">
          <a:extLst>
            <a:ext uri="{FF2B5EF4-FFF2-40B4-BE49-F238E27FC236}">
              <a16:creationId xmlns:a16="http://schemas.microsoft.com/office/drawing/2014/main" id="{D1558C0A-E625-4EC1-B30D-15BE6230485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0" name="TextBox 1">
          <a:extLst>
            <a:ext uri="{FF2B5EF4-FFF2-40B4-BE49-F238E27FC236}">
              <a16:creationId xmlns:a16="http://schemas.microsoft.com/office/drawing/2014/main" id="{85A2631A-6C3F-4FA0-9581-38D605734E0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1" name="TextBox 3500">
          <a:extLst>
            <a:ext uri="{FF2B5EF4-FFF2-40B4-BE49-F238E27FC236}">
              <a16:creationId xmlns:a16="http://schemas.microsoft.com/office/drawing/2014/main" id="{C05D38C3-5E8D-4E69-BA02-FA689FD8959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2" name="TextBox 3501">
          <a:extLst>
            <a:ext uri="{FF2B5EF4-FFF2-40B4-BE49-F238E27FC236}">
              <a16:creationId xmlns:a16="http://schemas.microsoft.com/office/drawing/2014/main" id="{12952946-755E-42C8-9481-E3A56AE4FC2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3" name="TextBox 3502">
          <a:extLst>
            <a:ext uri="{FF2B5EF4-FFF2-40B4-BE49-F238E27FC236}">
              <a16:creationId xmlns:a16="http://schemas.microsoft.com/office/drawing/2014/main" id="{F553EB3A-2094-4E5D-9D1E-E2D241F5749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4" name="TextBox 1">
          <a:extLst>
            <a:ext uri="{FF2B5EF4-FFF2-40B4-BE49-F238E27FC236}">
              <a16:creationId xmlns:a16="http://schemas.microsoft.com/office/drawing/2014/main" id="{33593841-6B7F-4D0C-A710-1DC3B4D2D72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5" name="TextBox 1">
          <a:extLst>
            <a:ext uri="{FF2B5EF4-FFF2-40B4-BE49-F238E27FC236}">
              <a16:creationId xmlns:a16="http://schemas.microsoft.com/office/drawing/2014/main" id="{BE5942EA-A1A4-4797-932C-75317A321E9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6" name="TextBox 3505">
          <a:extLst>
            <a:ext uri="{FF2B5EF4-FFF2-40B4-BE49-F238E27FC236}">
              <a16:creationId xmlns:a16="http://schemas.microsoft.com/office/drawing/2014/main" id="{CE04D28A-4A92-423A-8432-CAB953D58FB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7" name="TextBox 3506">
          <a:extLst>
            <a:ext uri="{FF2B5EF4-FFF2-40B4-BE49-F238E27FC236}">
              <a16:creationId xmlns:a16="http://schemas.microsoft.com/office/drawing/2014/main" id="{82ED561A-3392-4199-98F0-996C2C02858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8" name="TextBox 1">
          <a:extLst>
            <a:ext uri="{FF2B5EF4-FFF2-40B4-BE49-F238E27FC236}">
              <a16:creationId xmlns:a16="http://schemas.microsoft.com/office/drawing/2014/main" id="{6F275A38-5FB1-49CD-A4B7-B6111FBD732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09" name="TextBox 1">
          <a:extLst>
            <a:ext uri="{FF2B5EF4-FFF2-40B4-BE49-F238E27FC236}">
              <a16:creationId xmlns:a16="http://schemas.microsoft.com/office/drawing/2014/main" id="{0BCF8206-F09E-45AA-A01F-D17FDAC5569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0" name="TextBox 3509">
          <a:extLst>
            <a:ext uri="{FF2B5EF4-FFF2-40B4-BE49-F238E27FC236}">
              <a16:creationId xmlns:a16="http://schemas.microsoft.com/office/drawing/2014/main" id="{EA916EAE-3366-4C3F-B17C-CB0213F280F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1" name="TextBox 3510">
          <a:extLst>
            <a:ext uri="{FF2B5EF4-FFF2-40B4-BE49-F238E27FC236}">
              <a16:creationId xmlns:a16="http://schemas.microsoft.com/office/drawing/2014/main" id="{E2585276-9496-4808-81B8-7465EDB5703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2" name="TextBox 1">
          <a:extLst>
            <a:ext uri="{FF2B5EF4-FFF2-40B4-BE49-F238E27FC236}">
              <a16:creationId xmlns:a16="http://schemas.microsoft.com/office/drawing/2014/main" id="{4B0A481B-FF02-4989-8D82-3CD62D49691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3" name="TextBox 1">
          <a:extLst>
            <a:ext uri="{FF2B5EF4-FFF2-40B4-BE49-F238E27FC236}">
              <a16:creationId xmlns:a16="http://schemas.microsoft.com/office/drawing/2014/main" id="{D3A21C2F-C7E5-450E-956E-A9337E2D777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4" name="TextBox 3513">
          <a:extLst>
            <a:ext uri="{FF2B5EF4-FFF2-40B4-BE49-F238E27FC236}">
              <a16:creationId xmlns:a16="http://schemas.microsoft.com/office/drawing/2014/main" id="{1FF66955-EB36-4433-8A4C-B62667D4145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5" name="TextBox 3514">
          <a:extLst>
            <a:ext uri="{FF2B5EF4-FFF2-40B4-BE49-F238E27FC236}">
              <a16:creationId xmlns:a16="http://schemas.microsoft.com/office/drawing/2014/main" id="{D48618A1-8BAB-4C34-9AB5-CF2F0D341BB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6" name="TextBox 1">
          <a:extLst>
            <a:ext uri="{FF2B5EF4-FFF2-40B4-BE49-F238E27FC236}">
              <a16:creationId xmlns:a16="http://schemas.microsoft.com/office/drawing/2014/main" id="{24E778DD-42FB-48FA-8E33-3786EF37301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7" name="TextBox 1">
          <a:extLst>
            <a:ext uri="{FF2B5EF4-FFF2-40B4-BE49-F238E27FC236}">
              <a16:creationId xmlns:a16="http://schemas.microsoft.com/office/drawing/2014/main" id="{7DFC5838-99C4-4366-9EFA-63A81A15BCF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8" name="TextBox 3517">
          <a:extLst>
            <a:ext uri="{FF2B5EF4-FFF2-40B4-BE49-F238E27FC236}">
              <a16:creationId xmlns:a16="http://schemas.microsoft.com/office/drawing/2014/main" id="{DC3F6520-150D-4412-8E7E-D5CEC0E5D6F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19" name="TextBox 3518">
          <a:extLst>
            <a:ext uri="{FF2B5EF4-FFF2-40B4-BE49-F238E27FC236}">
              <a16:creationId xmlns:a16="http://schemas.microsoft.com/office/drawing/2014/main" id="{2E308C9A-31D1-42D6-9AC4-F3BA54DCE57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0" name="TextBox 1">
          <a:extLst>
            <a:ext uri="{FF2B5EF4-FFF2-40B4-BE49-F238E27FC236}">
              <a16:creationId xmlns:a16="http://schemas.microsoft.com/office/drawing/2014/main" id="{5A3B0DBE-DBAD-403A-9160-7C2AED58A13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1" name="TextBox 1">
          <a:extLst>
            <a:ext uri="{FF2B5EF4-FFF2-40B4-BE49-F238E27FC236}">
              <a16:creationId xmlns:a16="http://schemas.microsoft.com/office/drawing/2014/main" id="{CB81785D-A40C-4F4F-9273-1ABCC7FEE90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2" name="TextBox 3521">
          <a:extLst>
            <a:ext uri="{FF2B5EF4-FFF2-40B4-BE49-F238E27FC236}">
              <a16:creationId xmlns:a16="http://schemas.microsoft.com/office/drawing/2014/main" id="{096957D8-4235-4BCE-B128-918818DF4DC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3" name="TextBox 3522">
          <a:extLst>
            <a:ext uri="{FF2B5EF4-FFF2-40B4-BE49-F238E27FC236}">
              <a16:creationId xmlns:a16="http://schemas.microsoft.com/office/drawing/2014/main" id="{23CF829C-345C-4AE1-8EF8-BAC70E7C5AA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4" name="TextBox 1">
          <a:extLst>
            <a:ext uri="{FF2B5EF4-FFF2-40B4-BE49-F238E27FC236}">
              <a16:creationId xmlns:a16="http://schemas.microsoft.com/office/drawing/2014/main" id="{5232ED41-AA8C-47AA-8BF4-2042FA834C7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5" name="TextBox 1">
          <a:extLst>
            <a:ext uri="{FF2B5EF4-FFF2-40B4-BE49-F238E27FC236}">
              <a16:creationId xmlns:a16="http://schemas.microsoft.com/office/drawing/2014/main" id="{8B98782F-4794-4A79-8FD6-4745A31B202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6" name="TextBox 3525">
          <a:extLst>
            <a:ext uri="{FF2B5EF4-FFF2-40B4-BE49-F238E27FC236}">
              <a16:creationId xmlns:a16="http://schemas.microsoft.com/office/drawing/2014/main" id="{DDF5A443-A78C-4373-9A48-1F364B3CC8D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7" name="TextBox 3526">
          <a:extLst>
            <a:ext uri="{FF2B5EF4-FFF2-40B4-BE49-F238E27FC236}">
              <a16:creationId xmlns:a16="http://schemas.microsoft.com/office/drawing/2014/main" id="{3B248FB1-4F4F-465B-A523-0EEDBB02812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8" name="TextBox 1">
          <a:extLst>
            <a:ext uri="{FF2B5EF4-FFF2-40B4-BE49-F238E27FC236}">
              <a16:creationId xmlns:a16="http://schemas.microsoft.com/office/drawing/2014/main" id="{F610970B-75D0-45FB-869D-61AC1E3971C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29" name="TextBox 1">
          <a:extLst>
            <a:ext uri="{FF2B5EF4-FFF2-40B4-BE49-F238E27FC236}">
              <a16:creationId xmlns:a16="http://schemas.microsoft.com/office/drawing/2014/main" id="{49C3A06A-10C8-405F-B113-45EDB77B7DF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0" name="TextBox 3529">
          <a:extLst>
            <a:ext uri="{FF2B5EF4-FFF2-40B4-BE49-F238E27FC236}">
              <a16:creationId xmlns:a16="http://schemas.microsoft.com/office/drawing/2014/main" id="{39F3A01C-BB89-4A84-8228-B15178B7C2A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1" name="TextBox 3530">
          <a:extLst>
            <a:ext uri="{FF2B5EF4-FFF2-40B4-BE49-F238E27FC236}">
              <a16:creationId xmlns:a16="http://schemas.microsoft.com/office/drawing/2014/main" id="{1876DB96-5C65-4899-8B7B-A2517376B29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2" name="TextBox 1">
          <a:extLst>
            <a:ext uri="{FF2B5EF4-FFF2-40B4-BE49-F238E27FC236}">
              <a16:creationId xmlns:a16="http://schemas.microsoft.com/office/drawing/2014/main" id="{15D73976-1013-4549-8C7A-4191E522AEC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3" name="TextBox 1">
          <a:extLst>
            <a:ext uri="{FF2B5EF4-FFF2-40B4-BE49-F238E27FC236}">
              <a16:creationId xmlns:a16="http://schemas.microsoft.com/office/drawing/2014/main" id="{33275148-75B4-446B-8CF0-A9EE8E19B75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4" name="TextBox 3533">
          <a:extLst>
            <a:ext uri="{FF2B5EF4-FFF2-40B4-BE49-F238E27FC236}">
              <a16:creationId xmlns:a16="http://schemas.microsoft.com/office/drawing/2014/main" id="{C324183F-B262-4A87-8E24-B2D35A3A939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5" name="TextBox 3534">
          <a:extLst>
            <a:ext uri="{FF2B5EF4-FFF2-40B4-BE49-F238E27FC236}">
              <a16:creationId xmlns:a16="http://schemas.microsoft.com/office/drawing/2014/main" id="{914731EE-656E-449F-8CCD-2A40AD28E0B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6" name="TextBox 1">
          <a:extLst>
            <a:ext uri="{FF2B5EF4-FFF2-40B4-BE49-F238E27FC236}">
              <a16:creationId xmlns:a16="http://schemas.microsoft.com/office/drawing/2014/main" id="{2160F51C-3E2F-4538-9A56-ACEBA8B3956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7" name="TextBox 1">
          <a:extLst>
            <a:ext uri="{FF2B5EF4-FFF2-40B4-BE49-F238E27FC236}">
              <a16:creationId xmlns:a16="http://schemas.microsoft.com/office/drawing/2014/main" id="{07220AE3-258E-4CDD-8F7C-9F1DE495909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8" name="TextBox 3537">
          <a:extLst>
            <a:ext uri="{FF2B5EF4-FFF2-40B4-BE49-F238E27FC236}">
              <a16:creationId xmlns:a16="http://schemas.microsoft.com/office/drawing/2014/main" id="{F0FBFAB0-057E-47F5-9DDD-C5499D02366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39" name="TextBox 3538">
          <a:extLst>
            <a:ext uri="{FF2B5EF4-FFF2-40B4-BE49-F238E27FC236}">
              <a16:creationId xmlns:a16="http://schemas.microsoft.com/office/drawing/2014/main" id="{5D0CE360-73DF-43E2-B5F0-CED2ECC9D3D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0" name="TextBox 1">
          <a:extLst>
            <a:ext uri="{FF2B5EF4-FFF2-40B4-BE49-F238E27FC236}">
              <a16:creationId xmlns:a16="http://schemas.microsoft.com/office/drawing/2014/main" id="{D7B5B186-2D33-4504-A491-86ABEC7B8E8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1" name="TextBox 1">
          <a:extLst>
            <a:ext uri="{FF2B5EF4-FFF2-40B4-BE49-F238E27FC236}">
              <a16:creationId xmlns:a16="http://schemas.microsoft.com/office/drawing/2014/main" id="{F8A00F6F-FF21-4FAD-922D-54F875F995A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2" name="TextBox 3541">
          <a:extLst>
            <a:ext uri="{FF2B5EF4-FFF2-40B4-BE49-F238E27FC236}">
              <a16:creationId xmlns:a16="http://schemas.microsoft.com/office/drawing/2014/main" id="{1FB115A3-1F85-41AB-A259-7F9B81720B6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3" name="TextBox 3542">
          <a:extLst>
            <a:ext uri="{FF2B5EF4-FFF2-40B4-BE49-F238E27FC236}">
              <a16:creationId xmlns:a16="http://schemas.microsoft.com/office/drawing/2014/main" id="{C1C1B885-B3B9-4586-9035-D20E4E1FB10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4" name="TextBox 1">
          <a:extLst>
            <a:ext uri="{FF2B5EF4-FFF2-40B4-BE49-F238E27FC236}">
              <a16:creationId xmlns:a16="http://schemas.microsoft.com/office/drawing/2014/main" id="{E5E4ADE3-1AE6-4771-AA46-FA7F54B41C5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5" name="TextBox 1">
          <a:extLst>
            <a:ext uri="{FF2B5EF4-FFF2-40B4-BE49-F238E27FC236}">
              <a16:creationId xmlns:a16="http://schemas.microsoft.com/office/drawing/2014/main" id="{4D7FAA8F-7DA3-4517-9569-3C804D8E5E7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6" name="TextBox 3545">
          <a:extLst>
            <a:ext uri="{FF2B5EF4-FFF2-40B4-BE49-F238E27FC236}">
              <a16:creationId xmlns:a16="http://schemas.microsoft.com/office/drawing/2014/main" id="{9FEEED11-30D0-43B6-9AA5-5B3188FDF3B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7" name="TextBox 3546">
          <a:extLst>
            <a:ext uri="{FF2B5EF4-FFF2-40B4-BE49-F238E27FC236}">
              <a16:creationId xmlns:a16="http://schemas.microsoft.com/office/drawing/2014/main" id="{1D7EEEAF-17BD-4C91-8E9E-5EAA8787498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8" name="TextBox 3547">
          <a:extLst>
            <a:ext uri="{FF2B5EF4-FFF2-40B4-BE49-F238E27FC236}">
              <a16:creationId xmlns:a16="http://schemas.microsoft.com/office/drawing/2014/main" id="{4671F473-5403-4E27-A36A-F1859F86A2B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49" name="TextBox 1">
          <a:extLst>
            <a:ext uri="{FF2B5EF4-FFF2-40B4-BE49-F238E27FC236}">
              <a16:creationId xmlns:a16="http://schemas.microsoft.com/office/drawing/2014/main" id="{4C80FA7D-5EB3-46F1-B4BA-F0F0DE5B0FA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0" name="TextBox 1">
          <a:extLst>
            <a:ext uri="{FF2B5EF4-FFF2-40B4-BE49-F238E27FC236}">
              <a16:creationId xmlns:a16="http://schemas.microsoft.com/office/drawing/2014/main" id="{D7DE5298-B9C8-49D8-A1C6-F1D7411CE8C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1" name="TextBox 3550">
          <a:extLst>
            <a:ext uri="{FF2B5EF4-FFF2-40B4-BE49-F238E27FC236}">
              <a16:creationId xmlns:a16="http://schemas.microsoft.com/office/drawing/2014/main" id="{32A32AF6-C30F-4030-9F6C-388C3D0B3B8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2" name="TextBox 3551">
          <a:extLst>
            <a:ext uri="{FF2B5EF4-FFF2-40B4-BE49-F238E27FC236}">
              <a16:creationId xmlns:a16="http://schemas.microsoft.com/office/drawing/2014/main" id="{C131078B-652C-478B-9EA8-238475B48DE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3" name="TextBox 1">
          <a:extLst>
            <a:ext uri="{FF2B5EF4-FFF2-40B4-BE49-F238E27FC236}">
              <a16:creationId xmlns:a16="http://schemas.microsoft.com/office/drawing/2014/main" id="{EE7BC4AF-FA96-4804-B20E-F947AFE7CB6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4" name="TextBox 1">
          <a:extLst>
            <a:ext uri="{FF2B5EF4-FFF2-40B4-BE49-F238E27FC236}">
              <a16:creationId xmlns:a16="http://schemas.microsoft.com/office/drawing/2014/main" id="{03C2D935-B01B-414B-947B-CD63900F5B8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5" name="TextBox 3554">
          <a:extLst>
            <a:ext uri="{FF2B5EF4-FFF2-40B4-BE49-F238E27FC236}">
              <a16:creationId xmlns:a16="http://schemas.microsoft.com/office/drawing/2014/main" id="{0DF773D1-8829-4ABE-804C-5525978D4BF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6" name="TextBox 3555">
          <a:extLst>
            <a:ext uri="{FF2B5EF4-FFF2-40B4-BE49-F238E27FC236}">
              <a16:creationId xmlns:a16="http://schemas.microsoft.com/office/drawing/2014/main" id="{A7C92D75-66A6-4F6A-B7F1-558C79A63C9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7" name="TextBox 1">
          <a:extLst>
            <a:ext uri="{FF2B5EF4-FFF2-40B4-BE49-F238E27FC236}">
              <a16:creationId xmlns:a16="http://schemas.microsoft.com/office/drawing/2014/main" id="{AAB81724-BFC7-4CD4-9ACC-AB47F376524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8" name="TextBox 1">
          <a:extLst>
            <a:ext uri="{FF2B5EF4-FFF2-40B4-BE49-F238E27FC236}">
              <a16:creationId xmlns:a16="http://schemas.microsoft.com/office/drawing/2014/main" id="{74D64D17-95B6-4A6C-B94B-3DAFDDD652E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59" name="TextBox 3558">
          <a:extLst>
            <a:ext uri="{FF2B5EF4-FFF2-40B4-BE49-F238E27FC236}">
              <a16:creationId xmlns:a16="http://schemas.microsoft.com/office/drawing/2014/main" id="{6499A081-AEDA-4219-AFEB-847BB0097B3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0" name="TextBox 3559">
          <a:extLst>
            <a:ext uri="{FF2B5EF4-FFF2-40B4-BE49-F238E27FC236}">
              <a16:creationId xmlns:a16="http://schemas.microsoft.com/office/drawing/2014/main" id="{AF401A73-BA8B-47E2-9C59-9A74B2F339A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1" name="TextBox 1">
          <a:extLst>
            <a:ext uri="{FF2B5EF4-FFF2-40B4-BE49-F238E27FC236}">
              <a16:creationId xmlns:a16="http://schemas.microsoft.com/office/drawing/2014/main" id="{4A3E62C3-C2C4-4C8B-B297-3DEADEA5591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2" name="TextBox 1">
          <a:extLst>
            <a:ext uri="{FF2B5EF4-FFF2-40B4-BE49-F238E27FC236}">
              <a16:creationId xmlns:a16="http://schemas.microsoft.com/office/drawing/2014/main" id="{E18E0A42-8A6B-4B9B-A03F-D306E220DFC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3" name="TextBox 3562">
          <a:extLst>
            <a:ext uri="{FF2B5EF4-FFF2-40B4-BE49-F238E27FC236}">
              <a16:creationId xmlns:a16="http://schemas.microsoft.com/office/drawing/2014/main" id="{F28A370E-BFBC-412A-A672-8605146C636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4" name="TextBox 3563">
          <a:extLst>
            <a:ext uri="{FF2B5EF4-FFF2-40B4-BE49-F238E27FC236}">
              <a16:creationId xmlns:a16="http://schemas.microsoft.com/office/drawing/2014/main" id="{31DFB8E2-89E5-449C-9088-9DC410282F1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5" name="TextBox 1">
          <a:extLst>
            <a:ext uri="{FF2B5EF4-FFF2-40B4-BE49-F238E27FC236}">
              <a16:creationId xmlns:a16="http://schemas.microsoft.com/office/drawing/2014/main" id="{57FF80C9-DBF2-497A-951A-C7D321EBB84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6" name="TextBox 1">
          <a:extLst>
            <a:ext uri="{FF2B5EF4-FFF2-40B4-BE49-F238E27FC236}">
              <a16:creationId xmlns:a16="http://schemas.microsoft.com/office/drawing/2014/main" id="{B88CF9FB-4E28-4434-963F-559E3D4456A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7" name="TextBox 3566">
          <a:extLst>
            <a:ext uri="{FF2B5EF4-FFF2-40B4-BE49-F238E27FC236}">
              <a16:creationId xmlns:a16="http://schemas.microsoft.com/office/drawing/2014/main" id="{BF71194A-0EEA-4DAA-9D51-5E23F6C7243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8" name="TextBox 3567">
          <a:extLst>
            <a:ext uri="{FF2B5EF4-FFF2-40B4-BE49-F238E27FC236}">
              <a16:creationId xmlns:a16="http://schemas.microsoft.com/office/drawing/2014/main" id="{CA67E678-D9E5-4B45-BDFD-B92BCABBBB5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69" name="TextBox 1">
          <a:extLst>
            <a:ext uri="{FF2B5EF4-FFF2-40B4-BE49-F238E27FC236}">
              <a16:creationId xmlns:a16="http://schemas.microsoft.com/office/drawing/2014/main" id="{CF2159D4-2267-48FD-A8B3-FC34ADD680F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0" name="TextBox 1">
          <a:extLst>
            <a:ext uri="{FF2B5EF4-FFF2-40B4-BE49-F238E27FC236}">
              <a16:creationId xmlns:a16="http://schemas.microsoft.com/office/drawing/2014/main" id="{A2310958-B5F6-436C-9E19-B844A6CA8D9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1" name="TextBox 3570">
          <a:extLst>
            <a:ext uri="{FF2B5EF4-FFF2-40B4-BE49-F238E27FC236}">
              <a16:creationId xmlns:a16="http://schemas.microsoft.com/office/drawing/2014/main" id="{A06CE1B1-AB19-44B1-94CF-A45C9AE4455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2" name="TextBox 3571">
          <a:extLst>
            <a:ext uri="{FF2B5EF4-FFF2-40B4-BE49-F238E27FC236}">
              <a16:creationId xmlns:a16="http://schemas.microsoft.com/office/drawing/2014/main" id="{6217B187-B859-49C6-931F-D6B557F6F49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3" name="TextBox 1">
          <a:extLst>
            <a:ext uri="{FF2B5EF4-FFF2-40B4-BE49-F238E27FC236}">
              <a16:creationId xmlns:a16="http://schemas.microsoft.com/office/drawing/2014/main" id="{5218E9F8-B7F4-4FBB-8919-B07FB2700C3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4" name="TextBox 1">
          <a:extLst>
            <a:ext uri="{FF2B5EF4-FFF2-40B4-BE49-F238E27FC236}">
              <a16:creationId xmlns:a16="http://schemas.microsoft.com/office/drawing/2014/main" id="{C66CE4B9-88B9-41F1-A1EE-E11A7AEAA1B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5" name="TextBox 3574">
          <a:extLst>
            <a:ext uri="{FF2B5EF4-FFF2-40B4-BE49-F238E27FC236}">
              <a16:creationId xmlns:a16="http://schemas.microsoft.com/office/drawing/2014/main" id="{0AE325F7-2FD9-4F86-89B6-4E3BA4DDFD6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6" name="TextBox 3575">
          <a:extLst>
            <a:ext uri="{FF2B5EF4-FFF2-40B4-BE49-F238E27FC236}">
              <a16:creationId xmlns:a16="http://schemas.microsoft.com/office/drawing/2014/main" id="{EF06F9AA-D716-4386-9C10-7A02463CBB7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7" name="TextBox 1">
          <a:extLst>
            <a:ext uri="{FF2B5EF4-FFF2-40B4-BE49-F238E27FC236}">
              <a16:creationId xmlns:a16="http://schemas.microsoft.com/office/drawing/2014/main" id="{73F74979-60D7-4266-918D-5C805D60DB6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8" name="TextBox 1">
          <a:extLst>
            <a:ext uri="{FF2B5EF4-FFF2-40B4-BE49-F238E27FC236}">
              <a16:creationId xmlns:a16="http://schemas.microsoft.com/office/drawing/2014/main" id="{410D9C98-68A0-4FC4-9020-02DCC1E3156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79" name="TextBox 3578">
          <a:extLst>
            <a:ext uri="{FF2B5EF4-FFF2-40B4-BE49-F238E27FC236}">
              <a16:creationId xmlns:a16="http://schemas.microsoft.com/office/drawing/2014/main" id="{A6318556-D374-40AF-B14F-614534301BC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0" name="TextBox 3579">
          <a:extLst>
            <a:ext uri="{FF2B5EF4-FFF2-40B4-BE49-F238E27FC236}">
              <a16:creationId xmlns:a16="http://schemas.microsoft.com/office/drawing/2014/main" id="{CD646B1D-26C7-487C-94C3-5A82E6CF9DB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1" name="TextBox 1">
          <a:extLst>
            <a:ext uri="{FF2B5EF4-FFF2-40B4-BE49-F238E27FC236}">
              <a16:creationId xmlns:a16="http://schemas.microsoft.com/office/drawing/2014/main" id="{8FC18820-356B-4D4D-9D18-2D2AB12A1E7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2" name="TextBox 1">
          <a:extLst>
            <a:ext uri="{FF2B5EF4-FFF2-40B4-BE49-F238E27FC236}">
              <a16:creationId xmlns:a16="http://schemas.microsoft.com/office/drawing/2014/main" id="{6450FC98-32F9-41EE-86F6-C328FA6AB21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3" name="TextBox 3582">
          <a:extLst>
            <a:ext uri="{FF2B5EF4-FFF2-40B4-BE49-F238E27FC236}">
              <a16:creationId xmlns:a16="http://schemas.microsoft.com/office/drawing/2014/main" id="{9C43F92A-E0E8-42CC-A432-13C2DB0B27D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4" name="TextBox 1">
          <a:extLst>
            <a:ext uri="{FF2B5EF4-FFF2-40B4-BE49-F238E27FC236}">
              <a16:creationId xmlns:a16="http://schemas.microsoft.com/office/drawing/2014/main" id="{9DB31E65-F549-4364-B912-DB5FBD84B2D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5" name="TextBox 1">
          <a:extLst>
            <a:ext uri="{FF2B5EF4-FFF2-40B4-BE49-F238E27FC236}">
              <a16:creationId xmlns:a16="http://schemas.microsoft.com/office/drawing/2014/main" id="{DB6044A3-7C18-4F4D-8E70-8BE962A762B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6" name="TextBox 3585">
          <a:extLst>
            <a:ext uri="{FF2B5EF4-FFF2-40B4-BE49-F238E27FC236}">
              <a16:creationId xmlns:a16="http://schemas.microsoft.com/office/drawing/2014/main" id="{96EDE5F8-2F4B-48B7-BDB9-E5136382B0A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7" name="TextBox 1">
          <a:extLst>
            <a:ext uri="{FF2B5EF4-FFF2-40B4-BE49-F238E27FC236}">
              <a16:creationId xmlns:a16="http://schemas.microsoft.com/office/drawing/2014/main" id="{EEA3AF07-51C3-453D-84DD-E66C740B9DA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8" name="TextBox 3587">
          <a:extLst>
            <a:ext uri="{FF2B5EF4-FFF2-40B4-BE49-F238E27FC236}">
              <a16:creationId xmlns:a16="http://schemas.microsoft.com/office/drawing/2014/main" id="{CD7E3631-956A-4293-A9CD-52F8B1BB9E5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89" name="TextBox 1">
          <a:extLst>
            <a:ext uri="{FF2B5EF4-FFF2-40B4-BE49-F238E27FC236}">
              <a16:creationId xmlns:a16="http://schemas.microsoft.com/office/drawing/2014/main" id="{1A80FD69-FE17-4D59-BAA0-95E1A72EE56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0" name="TextBox 1">
          <a:extLst>
            <a:ext uri="{FF2B5EF4-FFF2-40B4-BE49-F238E27FC236}">
              <a16:creationId xmlns:a16="http://schemas.microsoft.com/office/drawing/2014/main" id="{EF69A48F-313F-40C0-83FA-C3FE51CB514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1" name="TextBox 3590">
          <a:extLst>
            <a:ext uri="{FF2B5EF4-FFF2-40B4-BE49-F238E27FC236}">
              <a16:creationId xmlns:a16="http://schemas.microsoft.com/office/drawing/2014/main" id="{29FEC510-7310-46C5-A18F-3D2A5F56683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2" name="TextBox 3591">
          <a:extLst>
            <a:ext uri="{FF2B5EF4-FFF2-40B4-BE49-F238E27FC236}">
              <a16:creationId xmlns:a16="http://schemas.microsoft.com/office/drawing/2014/main" id="{52A6F018-4EBA-4486-AC39-8B7DFC30A11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3" name="TextBox 1">
          <a:extLst>
            <a:ext uri="{FF2B5EF4-FFF2-40B4-BE49-F238E27FC236}">
              <a16:creationId xmlns:a16="http://schemas.microsoft.com/office/drawing/2014/main" id="{9117023B-3B75-4A4B-A404-4D2F696EB32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4" name="TextBox 1">
          <a:extLst>
            <a:ext uri="{FF2B5EF4-FFF2-40B4-BE49-F238E27FC236}">
              <a16:creationId xmlns:a16="http://schemas.microsoft.com/office/drawing/2014/main" id="{4FFC6380-7E8E-42E5-80D0-F068508C7DF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5" name="TextBox 3594">
          <a:extLst>
            <a:ext uri="{FF2B5EF4-FFF2-40B4-BE49-F238E27FC236}">
              <a16:creationId xmlns:a16="http://schemas.microsoft.com/office/drawing/2014/main" id="{B31D039B-8384-4C1E-97C6-B2570D1D804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6" name="TextBox 3595">
          <a:extLst>
            <a:ext uri="{FF2B5EF4-FFF2-40B4-BE49-F238E27FC236}">
              <a16:creationId xmlns:a16="http://schemas.microsoft.com/office/drawing/2014/main" id="{45AED258-2570-4B1E-B24B-037257C3062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7" name="TextBox 3596">
          <a:extLst>
            <a:ext uri="{FF2B5EF4-FFF2-40B4-BE49-F238E27FC236}">
              <a16:creationId xmlns:a16="http://schemas.microsoft.com/office/drawing/2014/main" id="{3C985E60-A37E-4F91-ACBC-227D9C334F1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8" name="TextBox 1">
          <a:extLst>
            <a:ext uri="{FF2B5EF4-FFF2-40B4-BE49-F238E27FC236}">
              <a16:creationId xmlns:a16="http://schemas.microsoft.com/office/drawing/2014/main" id="{AD309F1B-634F-45DA-853E-3212D90873E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599" name="TextBox 1">
          <a:extLst>
            <a:ext uri="{FF2B5EF4-FFF2-40B4-BE49-F238E27FC236}">
              <a16:creationId xmlns:a16="http://schemas.microsoft.com/office/drawing/2014/main" id="{A3DDA8BE-CC9C-4233-8A54-5679FBE082F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0" name="TextBox 3599">
          <a:extLst>
            <a:ext uri="{FF2B5EF4-FFF2-40B4-BE49-F238E27FC236}">
              <a16:creationId xmlns:a16="http://schemas.microsoft.com/office/drawing/2014/main" id="{63927F0A-5DE5-4474-8A7B-557D70CAF92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1" name="TextBox 3600">
          <a:extLst>
            <a:ext uri="{FF2B5EF4-FFF2-40B4-BE49-F238E27FC236}">
              <a16:creationId xmlns:a16="http://schemas.microsoft.com/office/drawing/2014/main" id="{CE5120C1-AA22-4558-9209-5DF8BE2C52E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2" name="TextBox 1">
          <a:extLst>
            <a:ext uri="{FF2B5EF4-FFF2-40B4-BE49-F238E27FC236}">
              <a16:creationId xmlns:a16="http://schemas.microsoft.com/office/drawing/2014/main" id="{57B0E9CB-89BB-4264-B0F2-45BD427673D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3" name="TextBox 1">
          <a:extLst>
            <a:ext uri="{FF2B5EF4-FFF2-40B4-BE49-F238E27FC236}">
              <a16:creationId xmlns:a16="http://schemas.microsoft.com/office/drawing/2014/main" id="{AEE62B29-180E-4231-99D6-5930830B43D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4" name="TextBox 3603">
          <a:extLst>
            <a:ext uri="{FF2B5EF4-FFF2-40B4-BE49-F238E27FC236}">
              <a16:creationId xmlns:a16="http://schemas.microsoft.com/office/drawing/2014/main" id="{9175F1B2-7BA0-4FB2-A02D-E8374436586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5" name="TextBox 3604">
          <a:extLst>
            <a:ext uri="{FF2B5EF4-FFF2-40B4-BE49-F238E27FC236}">
              <a16:creationId xmlns:a16="http://schemas.microsoft.com/office/drawing/2014/main" id="{330FF863-6618-4B05-8712-9255A48AAF6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6" name="TextBox 1">
          <a:extLst>
            <a:ext uri="{FF2B5EF4-FFF2-40B4-BE49-F238E27FC236}">
              <a16:creationId xmlns:a16="http://schemas.microsoft.com/office/drawing/2014/main" id="{BA3EAD29-AD36-4BB2-BEF7-40310D23CE0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7" name="TextBox 1">
          <a:extLst>
            <a:ext uri="{FF2B5EF4-FFF2-40B4-BE49-F238E27FC236}">
              <a16:creationId xmlns:a16="http://schemas.microsoft.com/office/drawing/2014/main" id="{C8D53E5C-37A5-4110-BCA8-1BAA0A78B08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8" name="TextBox 3607">
          <a:extLst>
            <a:ext uri="{FF2B5EF4-FFF2-40B4-BE49-F238E27FC236}">
              <a16:creationId xmlns:a16="http://schemas.microsoft.com/office/drawing/2014/main" id="{B6B384EC-35BD-4E2E-B9D2-9669EE60F29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09" name="TextBox 3608">
          <a:extLst>
            <a:ext uri="{FF2B5EF4-FFF2-40B4-BE49-F238E27FC236}">
              <a16:creationId xmlns:a16="http://schemas.microsoft.com/office/drawing/2014/main" id="{9B31662E-3DFC-4306-A0CC-DFB7B9AD71C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0" name="TextBox 1">
          <a:extLst>
            <a:ext uri="{FF2B5EF4-FFF2-40B4-BE49-F238E27FC236}">
              <a16:creationId xmlns:a16="http://schemas.microsoft.com/office/drawing/2014/main" id="{FE79AEC1-F390-4433-AEC7-B73CB0795D5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1" name="TextBox 1">
          <a:extLst>
            <a:ext uri="{FF2B5EF4-FFF2-40B4-BE49-F238E27FC236}">
              <a16:creationId xmlns:a16="http://schemas.microsoft.com/office/drawing/2014/main" id="{8D76D837-45D6-4774-8F2E-31F91E4E1E5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2" name="TextBox 3611">
          <a:extLst>
            <a:ext uri="{FF2B5EF4-FFF2-40B4-BE49-F238E27FC236}">
              <a16:creationId xmlns:a16="http://schemas.microsoft.com/office/drawing/2014/main" id="{A48F9406-37A3-46F9-AD68-CE072641D0E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3" name="TextBox 3612">
          <a:extLst>
            <a:ext uri="{FF2B5EF4-FFF2-40B4-BE49-F238E27FC236}">
              <a16:creationId xmlns:a16="http://schemas.microsoft.com/office/drawing/2014/main" id="{7A55EC94-1D1B-417D-81B7-FC3327CF255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4" name="TextBox 1">
          <a:extLst>
            <a:ext uri="{FF2B5EF4-FFF2-40B4-BE49-F238E27FC236}">
              <a16:creationId xmlns:a16="http://schemas.microsoft.com/office/drawing/2014/main" id="{6FDB8133-A6AF-426F-9574-3C129457767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5" name="TextBox 1">
          <a:extLst>
            <a:ext uri="{FF2B5EF4-FFF2-40B4-BE49-F238E27FC236}">
              <a16:creationId xmlns:a16="http://schemas.microsoft.com/office/drawing/2014/main" id="{60CE667B-E967-4716-A413-DD04404A927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6" name="TextBox 3615">
          <a:extLst>
            <a:ext uri="{FF2B5EF4-FFF2-40B4-BE49-F238E27FC236}">
              <a16:creationId xmlns:a16="http://schemas.microsoft.com/office/drawing/2014/main" id="{1518E9DF-B741-4681-94C9-0677130BD27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7" name="TextBox 3616">
          <a:extLst>
            <a:ext uri="{FF2B5EF4-FFF2-40B4-BE49-F238E27FC236}">
              <a16:creationId xmlns:a16="http://schemas.microsoft.com/office/drawing/2014/main" id="{6C582552-A215-4FA4-86A0-700039A0C54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8" name="TextBox 1">
          <a:extLst>
            <a:ext uri="{FF2B5EF4-FFF2-40B4-BE49-F238E27FC236}">
              <a16:creationId xmlns:a16="http://schemas.microsoft.com/office/drawing/2014/main" id="{9E85F3D5-F4EE-47C6-B198-40B1C77B384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19" name="TextBox 1">
          <a:extLst>
            <a:ext uri="{FF2B5EF4-FFF2-40B4-BE49-F238E27FC236}">
              <a16:creationId xmlns:a16="http://schemas.microsoft.com/office/drawing/2014/main" id="{53E8BD40-8889-4ED8-821E-4209DD64877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0" name="TextBox 3619">
          <a:extLst>
            <a:ext uri="{FF2B5EF4-FFF2-40B4-BE49-F238E27FC236}">
              <a16:creationId xmlns:a16="http://schemas.microsoft.com/office/drawing/2014/main" id="{3D3E58C0-75F8-4F22-8FD2-864870646D5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1" name="TextBox 3620">
          <a:extLst>
            <a:ext uri="{FF2B5EF4-FFF2-40B4-BE49-F238E27FC236}">
              <a16:creationId xmlns:a16="http://schemas.microsoft.com/office/drawing/2014/main" id="{79943062-C754-4DF6-AB31-E73727683A6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2" name="TextBox 1">
          <a:extLst>
            <a:ext uri="{FF2B5EF4-FFF2-40B4-BE49-F238E27FC236}">
              <a16:creationId xmlns:a16="http://schemas.microsoft.com/office/drawing/2014/main" id="{38D9892A-7AA0-403E-8525-6E76EF9F3DB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3" name="TextBox 1">
          <a:extLst>
            <a:ext uri="{FF2B5EF4-FFF2-40B4-BE49-F238E27FC236}">
              <a16:creationId xmlns:a16="http://schemas.microsoft.com/office/drawing/2014/main" id="{9F8D3695-DB6C-48DC-9114-56178CB0AD2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4" name="TextBox 3623">
          <a:extLst>
            <a:ext uri="{FF2B5EF4-FFF2-40B4-BE49-F238E27FC236}">
              <a16:creationId xmlns:a16="http://schemas.microsoft.com/office/drawing/2014/main" id="{8170F929-3D89-4697-855C-4D22E120B2F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5" name="TextBox 3624">
          <a:extLst>
            <a:ext uri="{FF2B5EF4-FFF2-40B4-BE49-F238E27FC236}">
              <a16:creationId xmlns:a16="http://schemas.microsoft.com/office/drawing/2014/main" id="{8C3B6574-0CF3-4025-BAA6-D0DAF54BF9F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6" name="TextBox 1">
          <a:extLst>
            <a:ext uri="{FF2B5EF4-FFF2-40B4-BE49-F238E27FC236}">
              <a16:creationId xmlns:a16="http://schemas.microsoft.com/office/drawing/2014/main" id="{653031A0-F60A-4FDD-9390-13427DDFBB6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7" name="TextBox 1">
          <a:extLst>
            <a:ext uri="{FF2B5EF4-FFF2-40B4-BE49-F238E27FC236}">
              <a16:creationId xmlns:a16="http://schemas.microsoft.com/office/drawing/2014/main" id="{3E3A0157-EA29-491C-9C68-A513BF0A326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8" name="TextBox 3627">
          <a:extLst>
            <a:ext uri="{FF2B5EF4-FFF2-40B4-BE49-F238E27FC236}">
              <a16:creationId xmlns:a16="http://schemas.microsoft.com/office/drawing/2014/main" id="{38A2D5D0-1507-4B5F-89A1-CCFBBE97D84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29" name="TextBox 3628">
          <a:extLst>
            <a:ext uri="{FF2B5EF4-FFF2-40B4-BE49-F238E27FC236}">
              <a16:creationId xmlns:a16="http://schemas.microsoft.com/office/drawing/2014/main" id="{C1F2009D-8476-4336-B9BA-BE518BFE085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0" name="TextBox 1">
          <a:extLst>
            <a:ext uri="{FF2B5EF4-FFF2-40B4-BE49-F238E27FC236}">
              <a16:creationId xmlns:a16="http://schemas.microsoft.com/office/drawing/2014/main" id="{4289E843-BF82-41DF-899A-01C5B016AA7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1" name="TextBox 1">
          <a:extLst>
            <a:ext uri="{FF2B5EF4-FFF2-40B4-BE49-F238E27FC236}">
              <a16:creationId xmlns:a16="http://schemas.microsoft.com/office/drawing/2014/main" id="{2C4A54DA-5C50-4115-A250-5CF779EEA66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2" name="TextBox 3631">
          <a:extLst>
            <a:ext uri="{FF2B5EF4-FFF2-40B4-BE49-F238E27FC236}">
              <a16:creationId xmlns:a16="http://schemas.microsoft.com/office/drawing/2014/main" id="{3B2C3B7B-4BBD-4CC7-9C49-836166CA51C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3" name="TextBox 3632">
          <a:extLst>
            <a:ext uri="{FF2B5EF4-FFF2-40B4-BE49-F238E27FC236}">
              <a16:creationId xmlns:a16="http://schemas.microsoft.com/office/drawing/2014/main" id="{413198A0-DB54-4BEB-B204-0FCA86F54E1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4" name="TextBox 3633">
          <a:extLst>
            <a:ext uri="{FF2B5EF4-FFF2-40B4-BE49-F238E27FC236}">
              <a16:creationId xmlns:a16="http://schemas.microsoft.com/office/drawing/2014/main" id="{2F2F72E7-27EB-4726-B1DE-79D1C9D8FDF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5" name="TextBox 1">
          <a:extLst>
            <a:ext uri="{FF2B5EF4-FFF2-40B4-BE49-F238E27FC236}">
              <a16:creationId xmlns:a16="http://schemas.microsoft.com/office/drawing/2014/main" id="{4A00F251-CF0E-41F8-8096-AA28DDB511A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6" name="TextBox 1">
          <a:extLst>
            <a:ext uri="{FF2B5EF4-FFF2-40B4-BE49-F238E27FC236}">
              <a16:creationId xmlns:a16="http://schemas.microsoft.com/office/drawing/2014/main" id="{E0D73DF8-D065-4CBF-88CE-443DFB63DA2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7" name="TextBox 3636">
          <a:extLst>
            <a:ext uri="{FF2B5EF4-FFF2-40B4-BE49-F238E27FC236}">
              <a16:creationId xmlns:a16="http://schemas.microsoft.com/office/drawing/2014/main" id="{1E590851-437A-4CE5-AA53-B9B21FEB712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8" name="TextBox 3637">
          <a:extLst>
            <a:ext uri="{FF2B5EF4-FFF2-40B4-BE49-F238E27FC236}">
              <a16:creationId xmlns:a16="http://schemas.microsoft.com/office/drawing/2014/main" id="{B24E92F6-595A-46A5-A797-8119642E29E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39" name="TextBox 1">
          <a:extLst>
            <a:ext uri="{FF2B5EF4-FFF2-40B4-BE49-F238E27FC236}">
              <a16:creationId xmlns:a16="http://schemas.microsoft.com/office/drawing/2014/main" id="{5FAB8E99-2403-4178-99D7-B097981AC91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0" name="TextBox 1">
          <a:extLst>
            <a:ext uri="{FF2B5EF4-FFF2-40B4-BE49-F238E27FC236}">
              <a16:creationId xmlns:a16="http://schemas.microsoft.com/office/drawing/2014/main" id="{DC05DFCB-6C0F-4CC2-8DBA-69F879CF074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1" name="TextBox 3640">
          <a:extLst>
            <a:ext uri="{FF2B5EF4-FFF2-40B4-BE49-F238E27FC236}">
              <a16:creationId xmlns:a16="http://schemas.microsoft.com/office/drawing/2014/main" id="{C72F7F20-29B1-4E03-BF92-0F82255CD91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2" name="TextBox 3641">
          <a:extLst>
            <a:ext uri="{FF2B5EF4-FFF2-40B4-BE49-F238E27FC236}">
              <a16:creationId xmlns:a16="http://schemas.microsoft.com/office/drawing/2014/main" id="{622298D1-65BB-4585-9196-1248FB19DCA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3" name="TextBox 1">
          <a:extLst>
            <a:ext uri="{FF2B5EF4-FFF2-40B4-BE49-F238E27FC236}">
              <a16:creationId xmlns:a16="http://schemas.microsoft.com/office/drawing/2014/main" id="{B2F776AE-D6E6-43A6-AD2F-94E8341F1E7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4" name="TextBox 1">
          <a:extLst>
            <a:ext uri="{FF2B5EF4-FFF2-40B4-BE49-F238E27FC236}">
              <a16:creationId xmlns:a16="http://schemas.microsoft.com/office/drawing/2014/main" id="{2467B263-F940-4A4C-AEFE-F63F9DCA556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5" name="TextBox 3644">
          <a:extLst>
            <a:ext uri="{FF2B5EF4-FFF2-40B4-BE49-F238E27FC236}">
              <a16:creationId xmlns:a16="http://schemas.microsoft.com/office/drawing/2014/main" id="{B7522C83-7A65-4844-B45E-CDBA213CC06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6" name="TextBox 3645">
          <a:extLst>
            <a:ext uri="{FF2B5EF4-FFF2-40B4-BE49-F238E27FC236}">
              <a16:creationId xmlns:a16="http://schemas.microsoft.com/office/drawing/2014/main" id="{452F8096-C2A2-49B5-9A1C-A7FEC6DB8BF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7" name="TextBox 1">
          <a:extLst>
            <a:ext uri="{FF2B5EF4-FFF2-40B4-BE49-F238E27FC236}">
              <a16:creationId xmlns:a16="http://schemas.microsoft.com/office/drawing/2014/main" id="{DC7E8EFC-F96E-4DCD-90AC-0D1FBC2F3E1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8" name="TextBox 1">
          <a:extLst>
            <a:ext uri="{FF2B5EF4-FFF2-40B4-BE49-F238E27FC236}">
              <a16:creationId xmlns:a16="http://schemas.microsoft.com/office/drawing/2014/main" id="{F8DEEC3E-E289-447E-A6CD-5B496B23742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49" name="TextBox 3648">
          <a:extLst>
            <a:ext uri="{FF2B5EF4-FFF2-40B4-BE49-F238E27FC236}">
              <a16:creationId xmlns:a16="http://schemas.microsoft.com/office/drawing/2014/main" id="{7B56F546-569E-46AF-920E-4C1ABAD62D2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0" name="TextBox 3649">
          <a:extLst>
            <a:ext uri="{FF2B5EF4-FFF2-40B4-BE49-F238E27FC236}">
              <a16:creationId xmlns:a16="http://schemas.microsoft.com/office/drawing/2014/main" id="{C2069BDA-C96F-4C90-B77F-040BAF9F668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1" name="TextBox 1">
          <a:extLst>
            <a:ext uri="{FF2B5EF4-FFF2-40B4-BE49-F238E27FC236}">
              <a16:creationId xmlns:a16="http://schemas.microsoft.com/office/drawing/2014/main" id="{E32648D7-4CA7-499A-A1CD-1F7260EDD72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2" name="TextBox 1">
          <a:extLst>
            <a:ext uri="{FF2B5EF4-FFF2-40B4-BE49-F238E27FC236}">
              <a16:creationId xmlns:a16="http://schemas.microsoft.com/office/drawing/2014/main" id="{0ECF67F0-104A-4D66-A4B4-DBBDF521AF7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3" name="TextBox 3652">
          <a:extLst>
            <a:ext uri="{FF2B5EF4-FFF2-40B4-BE49-F238E27FC236}">
              <a16:creationId xmlns:a16="http://schemas.microsoft.com/office/drawing/2014/main" id="{0339B42F-423E-4B71-A56D-D7D20DE9B72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4" name="TextBox 3653">
          <a:extLst>
            <a:ext uri="{FF2B5EF4-FFF2-40B4-BE49-F238E27FC236}">
              <a16:creationId xmlns:a16="http://schemas.microsoft.com/office/drawing/2014/main" id="{562D5652-373C-4013-856E-8FB90FEBF3E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5" name="TextBox 1">
          <a:extLst>
            <a:ext uri="{FF2B5EF4-FFF2-40B4-BE49-F238E27FC236}">
              <a16:creationId xmlns:a16="http://schemas.microsoft.com/office/drawing/2014/main" id="{966A0121-0B20-4B6F-92F1-7EAE605BF26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6" name="TextBox 1">
          <a:extLst>
            <a:ext uri="{FF2B5EF4-FFF2-40B4-BE49-F238E27FC236}">
              <a16:creationId xmlns:a16="http://schemas.microsoft.com/office/drawing/2014/main" id="{D0BE035A-A56A-402F-B43C-3F44A1083B1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7" name="TextBox 3656">
          <a:extLst>
            <a:ext uri="{FF2B5EF4-FFF2-40B4-BE49-F238E27FC236}">
              <a16:creationId xmlns:a16="http://schemas.microsoft.com/office/drawing/2014/main" id="{40CB6616-F05F-422C-A81A-07B4625DAC3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8" name="TextBox 3657">
          <a:extLst>
            <a:ext uri="{FF2B5EF4-FFF2-40B4-BE49-F238E27FC236}">
              <a16:creationId xmlns:a16="http://schemas.microsoft.com/office/drawing/2014/main" id="{09F2E440-5364-4186-91E1-86B62608235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59" name="TextBox 1">
          <a:extLst>
            <a:ext uri="{FF2B5EF4-FFF2-40B4-BE49-F238E27FC236}">
              <a16:creationId xmlns:a16="http://schemas.microsoft.com/office/drawing/2014/main" id="{DE10E8B2-BDCE-4517-BA2E-1BA24E42DA7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0" name="TextBox 1">
          <a:extLst>
            <a:ext uri="{FF2B5EF4-FFF2-40B4-BE49-F238E27FC236}">
              <a16:creationId xmlns:a16="http://schemas.microsoft.com/office/drawing/2014/main" id="{557497F8-0CC0-439B-8EC6-4EFEB55C9D4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1" name="TextBox 3660">
          <a:extLst>
            <a:ext uri="{FF2B5EF4-FFF2-40B4-BE49-F238E27FC236}">
              <a16:creationId xmlns:a16="http://schemas.microsoft.com/office/drawing/2014/main" id="{7644C478-3CB1-4121-A103-275E5D0A681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2" name="TextBox 3661">
          <a:extLst>
            <a:ext uri="{FF2B5EF4-FFF2-40B4-BE49-F238E27FC236}">
              <a16:creationId xmlns:a16="http://schemas.microsoft.com/office/drawing/2014/main" id="{A0B78BD4-F32E-4E19-8CCF-F94D194EFEB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3" name="TextBox 1">
          <a:extLst>
            <a:ext uri="{FF2B5EF4-FFF2-40B4-BE49-F238E27FC236}">
              <a16:creationId xmlns:a16="http://schemas.microsoft.com/office/drawing/2014/main" id="{49BF49AC-D84A-4509-BD3A-266F09C8078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4" name="TextBox 1">
          <a:extLst>
            <a:ext uri="{FF2B5EF4-FFF2-40B4-BE49-F238E27FC236}">
              <a16:creationId xmlns:a16="http://schemas.microsoft.com/office/drawing/2014/main" id="{E6C0AD59-D6CB-4335-B14F-B655A09F48A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5" name="TextBox 3664">
          <a:extLst>
            <a:ext uri="{FF2B5EF4-FFF2-40B4-BE49-F238E27FC236}">
              <a16:creationId xmlns:a16="http://schemas.microsoft.com/office/drawing/2014/main" id="{00503D68-4FB7-4DD4-9165-9B8DF23C05F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6" name="TextBox 3665">
          <a:extLst>
            <a:ext uri="{FF2B5EF4-FFF2-40B4-BE49-F238E27FC236}">
              <a16:creationId xmlns:a16="http://schemas.microsoft.com/office/drawing/2014/main" id="{4A8165DA-1D0C-48A8-A1A6-410C7632E5E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7" name="TextBox 1">
          <a:extLst>
            <a:ext uri="{FF2B5EF4-FFF2-40B4-BE49-F238E27FC236}">
              <a16:creationId xmlns:a16="http://schemas.microsoft.com/office/drawing/2014/main" id="{826F09F3-75AA-4B80-AC75-1D53D1D21DB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8" name="TextBox 1">
          <a:extLst>
            <a:ext uri="{FF2B5EF4-FFF2-40B4-BE49-F238E27FC236}">
              <a16:creationId xmlns:a16="http://schemas.microsoft.com/office/drawing/2014/main" id="{F4CD6718-D337-4093-9E9A-E3C480BFECE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69" name="TextBox 3668">
          <a:extLst>
            <a:ext uri="{FF2B5EF4-FFF2-40B4-BE49-F238E27FC236}">
              <a16:creationId xmlns:a16="http://schemas.microsoft.com/office/drawing/2014/main" id="{1D479AAF-76D3-4DD4-B20C-59BA925366B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0" name="TextBox 3669">
          <a:extLst>
            <a:ext uri="{FF2B5EF4-FFF2-40B4-BE49-F238E27FC236}">
              <a16:creationId xmlns:a16="http://schemas.microsoft.com/office/drawing/2014/main" id="{A0C0DF41-9026-4496-8CD2-8A8781389A7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1" name="TextBox 1">
          <a:extLst>
            <a:ext uri="{FF2B5EF4-FFF2-40B4-BE49-F238E27FC236}">
              <a16:creationId xmlns:a16="http://schemas.microsoft.com/office/drawing/2014/main" id="{AD091C72-5F0E-4E96-B9F0-312EE179AB1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2" name="TextBox 1">
          <a:extLst>
            <a:ext uri="{FF2B5EF4-FFF2-40B4-BE49-F238E27FC236}">
              <a16:creationId xmlns:a16="http://schemas.microsoft.com/office/drawing/2014/main" id="{14602631-B8B8-4DDB-8ACB-8955F2B5870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3" name="TextBox 3672">
          <a:extLst>
            <a:ext uri="{FF2B5EF4-FFF2-40B4-BE49-F238E27FC236}">
              <a16:creationId xmlns:a16="http://schemas.microsoft.com/office/drawing/2014/main" id="{0D42071B-EBAC-4E6C-8879-A9882D73096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4" name="TextBox 3673">
          <a:extLst>
            <a:ext uri="{FF2B5EF4-FFF2-40B4-BE49-F238E27FC236}">
              <a16:creationId xmlns:a16="http://schemas.microsoft.com/office/drawing/2014/main" id="{9F3201D1-9F0D-4675-98F8-A1B750630F4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5" name="TextBox 1">
          <a:extLst>
            <a:ext uri="{FF2B5EF4-FFF2-40B4-BE49-F238E27FC236}">
              <a16:creationId xmlns:a16="http://schemas.microsoft.com/office/drawing/2014/main" id="{124C4C66-30D0-4D39-BB4F-EE09E8E93D6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6" name="TextBox 1">
          <a:extLst>
            <a:ext uri="{FF2B5EF4-FFF2-40B4-BE49-F238E27FC236}">
              <a16:creationId xmlns:a16="http://schemas.microsoft.com/office/drawing/2014/main" id="{1FAB6B34-5299-4D07-8975-A5915387766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7" name="TextBox 3676">
          <a:extLst>
            <a:ext uri="{FF2B5EF4-FFF2-40B4-BE49-F238E27FC236}">
              <a16:creationId xmlns:a16="http://schemas.microsoft.com/office/drawing/2014/main" id="{FF5F08C1-101E-410D-8A57-2539643B12B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8" name="TextBox 3677">
          <a:extLst>
            <a:ext uri="{FF2B5EF4-FFF2-40B4-BE49-F238E27FC236}">
              <a16:creationId xmlns:a16="http://schemas.microsoft.com/office/drawing/2014/main" id="{A156DA10-AA45-43EB-A02F-386F4B6042F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79" name="TextBox 3678">
          <a:extLst>
            <a:ext uri="{FF2B5EF4-FFF2-40B4-BE49-F238E27FC236}">
              <a16:creationId xmlns:a16="http://schemas.microsoft.com/office/drawing/2014/main" id="{BAF1A45E-1C9C-4D32-830F-4349972AA29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0" name="TextBox 1">
          <a:extLst>
            <a:ext uri="{FF2B5EF4-FFF2-40B4-BE49-F238E27FC236}">
              <a16:creationId xmlns:a16="http://schemas.microsoft.com/office/drawing/2014/main" id="{726CEAC7-7F2A-4BFC-BCD2-69B99EE1676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1" name="TextBox 1">
          <a:extLst>
            <a:ext uri="{FF2B5EF4-FFF2-40B4-BE49-F238E27FC236}">
              <a16:creationId xmlns:a16="http://schemas.microsoft.com/office/drawing/2014/main" id="{94FA7064-589B-481A-B7CB-4105FFFB8D8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2" name="TextBox 3681">
          <a:extLst>
            <a:ext uri="{FF2B5EF4-FFF2-40B4-BE49-F238E27FC236}">
              <a16:creationId xmlns:a16="http://schemas.microsoft.com/office/drawing/2014/main" id="{234504E1-89CA-45E0-B05F-09A9E11063E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3" name="TextBox 3682">
          <a:extLst>
            <a:ext uri="{FF2B5EF4-FFF2-40B4-BE49-F238E27FC236}">
              <a16:creationId xmlns:a16="http://schemas.microsoft.com/office/drawing/2014/main" id="{CB813AE4-F635-4E9A-92D1-ABD30083779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4" name="TextBox 1">
          <a:extLst>
            <a:ext uri="{FF2B5EF4-FFF2-40B4-BE49-F238E27FC236}">
              <a16:creationId xmlns:a16="http://schemas.microsoft.com/office/drawing/2014/main" id="{86651D7B-C8AC-4079-8CEC-28CADFA5F2C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5" name="TextBox 1">
          <a:extLst>
            <a:ext uri="{FF2B5EF4-FFF2-40B4-BE49-F238E27FC236}">
              <a16:creationId xmlns:a16="http://schemas.microsoft.com/office/drawing/2014/main" id="{5415291D-194C-4179-845C-E166FF59B8B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6" name="TextBox 3685">
          <a:extLst>
            <a:ext uri="{FF2B5EF4-FFF2-40B4-BE49-F238E27FC236}">
              <a16:creationId xmlns:a16="http://schemas.microsoft.com/office/drawing/2014/main" id="{0CE0E4AB-7E51-4F3C-A92C-7D3B825EA8DD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7" name="TextBox 3686">
          <a:extLst>
            <a:ext uri="{FF2B5EF4-FFF2-40B4-BE49-F238E27FC236}">
              <a16:creationId xmlns:a16="http://schemas.microsoft.com/office/drawing/2014/main" id="{7B44108E-9E5E-4714-880E-A3FB12B8DA1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8" name="TextBox 1">
          <a:extLst>
            <a:ext uri="{FF2B5EF4-FFF2-40B4-BE49-F238E27FC236}">
              <a16:creationId xmlns:a16="http://schemas.microsoft.com/office/drawing/2014/main" id="{20AAE2FD-4DFA-4B1E-8D89-F020E68FD87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89" name="TextBox 1">
          <a:extLst>
            <a:ext uri="{FF2B5EF4-FFF2-40B4-BE49-F238E27FC236}">
              <a16:creationId xmlns:a16="http://schemas.microsoft.com/office/drawing/2014/main" id="{86353EC5-C189-4EC5-8530-C1BD312E7D8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0" name="TextBox 3689">
          <a:extLst>
            <a:ext uri="{FF2B5EF4-FFF2-40B4-BE49-F238E27FC236}">
              <a16:creationId xmlns:a16="http://schemas.microsoft.com/office/drawing/2014/main" id="{8878BAD9-091E-4383-AE7A-25341FF6665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1" name="TextBox 3690">
          <a:extLst>
            <a:ext uri="{FF2B5EF4-FFF2-40B4-BE49-F238E27FC236}">
              <a16:creationId xmlns:a16="http://schemas.microsoft.com/office/drawing/2014/main" id="{D132891D-5AA0-4122-AE0C-081380C9D60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2" name="TextBox 1">
          <a:extLst>
            <a:ext uri="{FF2B5EF4-FFF2-40B4-BE49-F238E27FC236}">
              <a16:creationId xmlns:a16="http://schemas.microsoft.com/office/drawing/2014/main" id="{1AB866AC-80DF-4C94-9750-630F173F20F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3" name="TextBox 1">
          <a:extLst>
            <a:ext uri="{FF2B5EF4-FFF2-40B4-BE49-F238E27FC236}">
              <a16:creationId xmlns:a16="http://schemas.microsoft.com/office/drawing/2014/main" id="{05A70B21-FC61-43B8-9553-90AF9B62197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4" name="TextBox 3693">
          <a:extLst>
            <a:ext uri="{FF2B5EF4-FFF2-40B4-BE49-F238E27FC236}">
              <a16:creationId xmlns:a16="http://schemas.microsoft.com/office/drawing/2014/main" id="{57753F47-1CC3-4718-B3A7-E13FE838A32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5" name="TextBox 3694">
          <a:extLst>
            <a:ext uri="{FF2B5EF4-FFF2-40B4-BE49-F238E27FC236}">
              <a16:creationId xmlns:a16="http://schemas.microsoft.com/office/drawing/2014/main" id="{D66E6C91-7ECD-4C45-A15A-E0E293E01CA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6" name="TextBox 1">
          <a:extLst>
            <a:ext uri="{FF2B5EF4-FFF2-40B4-BE49-F238E27FC236}">
              <a16:creationId xmlns:a16="http://schemas.microsoft.com/office/drawing/2014/main" id="{E62EA840-CEAA-4CEA-98E9-A7EEFCF0336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7" name="TextBox 1">
          <a:extLst>
            <a:ext uri="{FF2B5EF4-FFF2-40B4-BE49-F238E27FC236}">
              <a16:creationId xmlns:a16="http://schemas.microsoft.com/office/drawing/2014/main" id="{BC889555-09A3-4B79-8DCD-80DAD8FC136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8" name="TextBox 3697">
          <a:extLst>
            <a:ext uri="{FF2B5EF4-FFF2-40B4-BE49-F238E27FC236}">
              <a16:creationId xmlns:a16="http://schemas.microsoft.com/office/drawing/2014/main" id="{3D8D6D07-5082-459C-BD2C-EA7712AB524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699" name="TextBox 3698">
          <a:extLst>
            <a:ext uri="{FF2B5EF4-FFF2-40B4-BE49-F238E27FC236}">
              <a16:creationId xmlns:a16="http://schemas.microsoft.com/office/drawing/2014/main" id="{CA36DBB7-B4B2-4B9D-AFF9-F7A983A7646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0" name="TextBox 1">
          <a:extLst>
            <a:ext uri="{FF2B5EF4-FFF2-40B4-BE49-F238E27FC236}">
              <a16:creationId xmlns:a16="http://schemas.microsoft.com/office/drawing/2014/main" id="{B2923ABD-0F27-4B25-A5E7-0F02230CAA1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1" name="TextBox 1">
          <a:extLst>
            <a:ext uri="{FF2B5EF4-FFF2-40B4-BE49-F238E27FC236}">
              <a16:creationId xmlns:a16="http://schemas.microsoft.com/office/drawing/2014/main" id="{B6C214C3-0B2D-4A0E-99C0-BFAD09FB81E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2" name="TextBox 3701">
          <a:extLst>
            <a:ext uri="{FF2B5EF4-FFF2-40B4-BE49-F238E27FC236}">
              <a16:creationId xmlns:a16="http://schemas.microsoft.com/office/drawing/2014/main" id="{5CCEFBD3-FEB9-44DB-99E2-44AA619F609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3" name="TextBox 3702">
          <a:extLst>
            <a:ext uri="{FF2B5EF4-FFF2-40B4-BE49-F238E27FC236}">
              <a16:creationId xmlns:a16="http://schemas.microsoft.com/office/drawing/2014/main" id="{180BE820-CE0B-4C6D-B3E0-97B2EC0D656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4" name="TextBox 1">
          <a:extLst>
            <a:ext uri="{FF2B5EF4-FFF2-40B4-BE49-F238E27FC236}">
              <a16:creationId xmlns:a16="http://schemas.microsoft.com/office/drawing/2014/main" id="{08678AA7-9674-421B-8001-DF413BF8526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5" name="TextBox 1">
          <a:extLst>
            <a:ext uri="{FF2B5EF4-FFF2-40B4-BE49-F238E27FC236}">
              <a16:creationId xmlns:a16="http://schemas.microsoft.com/office/drawing/2014/main" id="{8899F133-B7ED-4CC7-B6ED-DEEFC987696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6" name="TextBox 3705">
          <a:extLst>
            <a:ext uri="{FF2B5EF4-FFF2-40B4-BE49-F238E27FC236}">
              <a16:creationId xmlns:a16="http://schemas.microsoft.com/office/drawing/2014/main" id="{4FDA8299-308E-44DD-BDF2-56FCC80C3EB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7" name="TextBox 3706">
          <a:extLst>
            <a:ext uri="{FF2B5EF4-FFF2-40B4-BE49-F238E27FC236}">
              <a16:creationId xmlns:a16="http://schemas.microsoft.com/office/drawing/2014/main" id="{97503707-B893-4EF2-B1C7-EF105EBCE02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8" name="TextBox 1">
          <a:extLst>
            <a:ext uri="{FF2B5EF4-FFF2-40B4-BE49-F238E27FC236}">
              <a16:creationId xmlns:a16="http://schemas.microsoft.com/office/drawing/2014/main" id="{72D39253-0B31-49DE-A97A-B4210935F00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09" name="TextBox 1">
          <a:extLst>
            <a:ext uri="{FF2B5EF4-FFF2-40B4-BE49-F238E27FC236}">
              <a16:creationId xmlns:a16="http://schemas.microsoft.com/office/drawing/2014/main" id="{BF096C67-4A2A-4472-AE0F-E5E5530FDC2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0" name="TextBox 3709">
          <a:extLst>
            <a:ext uri="{FF2B5EF4-FFF2-40B4-BE49-F238E27FC236}">
              <a16:creationId xmlns:a16="http://schemas.microsoft.com/office/drawing/2014/main" id="{93DFE6D8-152A-4870-A76F-8FF9D39E982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1" name="TextBox 3710">
          <a:extLst>
            <a:ext uri="{FF2B5EF4-FFF2-40B4-BE49-F238E27FC236}">
              <a16:creationId xmlns:a16="http://schemas.microsoft.com/office/drawing/2014/main" id="{59C69001-F930-4DF7-A29A-4B75AFB301C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2" name="TextBox 1">
          <a:extLst>
            <a:ext uri="{FF2B5EF4-FFF2-40B4-BE49-F238E27FC236}">
              <a16:creationId xmlns:a16="http://schemas.microsoft.com/office/drawing/2014/main" id="{DEE1F07E-F87D-44C7-8027-BECDB673817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3" name="TextBox 1">
          <a:extLst>
            <a:ext uri="{FF2B5EF4-FFF2-40B4-BE49-F238E27FC236}">
              <a16:creationId xmlns:a16="http://schemas.microsoft.com/office/drawing/2014/main" id="{58857C46-97FB-4212-B174-96CF2B0465D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4" name="TextBox 3713">
          <a:extLst>
            <a:ext uri="{FF2B5EF4-FFF2-40B4-BE49-F238E27FC236}">
              <a16:creationId xmlns:a16="http://schemas.microsoft.com/office/drawing/2014/main" id="{696BF234-1663-4171-B333-3EF3B6084CA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5" name="TextBox 1">
          <a:extLst>
            <a:ext uri="{FF2B5EF4-FFF2-40B4-BE49-F238E27FC236}">
              <a16:creationId xmlns:a16="http://schemas.microsoft.com/office/drawing/2014/main" id="{15B6DD62-C618-443A-87ED-BCE0903A5A3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6" name="TextBox 1">
          <a:extLst>
            <a:ext uri="{FF2B5EF4-FFF2-40B4-BE49-F238E27FC236}">
              <a16:creationId xmlns:a16="http://schemas.microsoft.com/office/drawing/2014/main" id="{31209E2D-DF98-4E2A-91DA-762ECBFBBD3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7" name="TextBox 3716">
          <a:extLst>
            <a:ext uri="{FF2B5EF4-FFF2-40B4-BE49-F238E27FC236}">
              <a16:creationId xmlns:a16="http://schemas.microsoft.com/office/drawing/2014/main" id="{7047826B-7E76-4459-9C31-96E29EA4A7A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8" name="TextBox 1">
          <a:extLst>
            <a:ext uri="{FF2B5EF4-FFF2-40B4-BE49-F238E27FC236}">
              <a16:creationId xmlns:a16="http://schemas.microsoft.com/office/drawing/2014/main" id="{99F0669E-4584-48E8-A986-572E4C0CD8E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19" name="TextBox 3718">
          <a:extLst>
            <a:ext uri="{FF2B5EF4-FFF2-40B4-BE49-F238E27FC236}">
              <a16:creationId xmlns:a16="http://schemas.microsoft.com/office/drawing/2014/main" id="{4085CA2C-E45F-462D-9E2C-73C3F3948F6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0" name="TextBox 1">
          <a:extLst>
            <a:ext uri="{FF2B5EF4-FFF2-40B4-BE49-F238E27FC236}">
              <a16:creationId xmlns:a16="http://schemas.microsoft.com/office/drawing/2014/main" id="{08F6E1B0-FD29-494A-B5E4-42D95C9B87E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1" name="TextBox 1">
          <a:extLst>
            <a:ext uri="{FF2B5EF4-FFF2-40B4-BE49-F238E27FC236}">
              <a16:creationId xmlns:a16="http://schemas.microsoft.com/office/drawing/2014/main" id="{0F0C61E4-6F6C-43CA-8C81-77B8D7CB988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2" name="TextBox 3721">
          <a:extLst>
            <a:ext uri="{FF2B5EF4-FFF2-40B4-BE49-F238E27FC236}">
              <a16:creationId xmlns:a16="http://schemas.microsoft.com/office/drawing/2014/main" id="{5E320300-42CE-4ABE-9A7B-2490E5B16A7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3" name="TextBox 3722">
          <a:extLst>
            <a:ext uri="{FF2B5EF4-FFF2-40B4-BE49-F238E27FC236}">
              <a16:creationId xmlns:a16="http://schemas.microsoft.com/office/drawing/2014/main" id="{207911F2-7A8A-4AAA-99A6-D178F42E884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4" name="TextBox 1">
          <a:extLst>
            <a:ext uri="{FF2B5EF4-FFF2-40B4-BE49-F238E27FC236}">
              <a16:creationId xmlns:a16="http://schemas.microsoft.com/office/drawing/2014/main" id="{2A3C0695-98FB-4D1B-B66F-1DC4CEC8DBF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5" name="TextBox 1">
          <a:extLst>
            <a:ext uri="{FF2B5EF4-FFF2-40B4-BE49-F238E27FC236}">
              <a16:creationId xmlns:a16="http://schemas.microsoft.com/office/drawing/2014/main" id="{23D51B0A-2D18-4495-BCBC-29C44701A10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6" name="TextBox 3725">
          <a:extLst>
            <a:ext uri="{FF2B5EF4-FFF2-40B4-BE49-F238E27FC236}">
              <a16:creationId xmlns:a16="http://schemas.microsoft.com/office/drawing/2014/main" id="{7D0EBE89-D0D7-4E23-AC36-8AA84E695DC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7" name="TextBox 3726">
          <a:extLst>
            <a:ext uri="{FF2B5EF4-FFF2-40B4-BE49-F238E27FC236}">
              <a16:creationId xmlns:a16="http://schemas.microsoft.com/office/drawing/2014/main" id="{64F2B2DD-3B3E-481B-90F0-E193D2BAC6A8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8" name="TextBox 3727">
          <a:extLst>
            <a:ext uri="{FF2B5EF4-FFF2-40B4-BE49-F238E27FC236}">
              <a16:creationId xmlns:a16="http://schemas.microsoft.com/office/drawing/2014/main" id="{9A66D205-A403-46C3-BD8E-150F2A78BD8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29" name="TextBox 1">
          <a:extLst>
            <a:ext uri="{FF2B5EF4-FFF2-40B4-BE49-F238E27FC236}">
              <a16:creationId xmlns:a16="http://schemas.microsoft.com/office/drawing/2014/main" id="{360227C2-B1F8-4135-9D26-AFC865154C5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0" name="TextBox 1">
          <a:extLst>
            <a:ext uri="{FF2B5EF4-FFF2-40B4-BE49-F238E27FC236}">
              <a16:creationId xmlns:a16="http://schemas.microsoft.com/office/drawing/2014/main" id="{7C7033E3-5EF0-4C78-AAE1-E235AE901AD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1" name="TextBox 3730">
          <a:extLst>
            <a:ext uri="{FF2B5EF4-FFF2-40B4-BE49-F238E27FC236}">
              <a16:creationId xmlns:a16="http://schemas.microsoft.com/office/drawing/2014/main" id="{3466A80D-7086-492B-B6AE-EC008FFE14A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2" name="TextBox 3731">
          <a:extLst>
            <a:ext uri="{FF2B5EF4-FFF2-40B4-BE49-F238E27FC236}">
              <a16:creationId xmlns:a16="http://schemas.microsoft.com/office/drawing/2014/main" id="{FF5518EA-EBA6-4D11-B87A-23DD40EF944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3" name="TextBox 1">
          <a:extLst>
            <a:ext uri="{FF2B5EF4-FFF2-40B4-BE49-F238E27FC236}">
              <a16:creationId xmlns:a16="http://schemas.microsoft.com/office/drawing/2014/main" id="{57B41883-6311-4F88-AB72-085DF377929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4" name="TextBox 1">
          <a:extLst>
            <a:ext uri="{FF2B5EF4-FFF2-40B4-BE49-F238E27FC236}">
              <a16:creationId xmlns:a16="http://schemas.microsoft.com/office/drawing/2014/main" id="{86F3A717-3CB4-40A6-A5C9-EA1E4DBC16D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5" name="TextBox 3734">
          <a:extLst>
            <a:ext uri="{FF2B5EF4-FFF2-40B4-BE49-F238E27FC236}">
              <a16:creationId xmlns:a16="http://schemas.microsoft.com/office/drawing/2014/main" id="{2C319CEB-AF56-4E2D-9FFC-E0A64DF443A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6" name="TextBox 3735">
          <a:extLst>
            <a:ext uri="{FF2B5EF4-FFF2-40B4-BE49-F238E27FC236}">
              <a16:creationId xmlns:a16="http://schemas.microsoft.com/office/drawing/2014/main" id="{1FF6B172-20FE-4731-9D08-39D3138F7EB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7" name="TextBox 1">
          <a:extLst>
            <a:ext uri="{FF2B5EF4-FFF2-40B4-BE49-F238E27FC236}">
              <a16:creationId xmlns:a16="http://schemas.microsoft.com/office/drawing/2014/main" id="{65BAC1A2-5707-4275-957B-F7B9BCCDDA4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8" name="TextBox 1">
          <a:extLst>
            <a:ext uri="{FF2B5EF4-FFF2-40B4-BE49-F238E27FC236}">
              <a16:creationId xmlns:a16="http://schemas.microsoft.com/office/drawing/2014/main" id="{6FADBF62-A5C9-49F4-A7B5-FB214BB0AB0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39" name="TextBox 3738">
          <a:extLst>
            <a:ext uri="{FF2B5EF4-FFF2-40B4-BE49-F238E27FC236}">
              <a16:creationId xmlns:a16="http://schemas.microsoft.com/office/drawing/2014/main" id="{794B04F9-8F71-4FCA-B8CC-178073F26C1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0" name="TextBox 3739">
          <a:extLst>
            <a:ext uri="{FF2B5EF4-FFF2-40B4-BE49-F238E27FC236}">
              <a16:creationId xmlns:a16="http://schemas.microsoft.com/office/drawing/2014/main" id="{52935517-B132-4187-BF8B-400556D7D0A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1" name="TextBox 1">
          <a:extLst>
            <a:ext uri="{FF2B5EF4-FFF2-40B4-BE49-F238E27FC236}">
              <a16:creationId xmlns:a16="http://schemas.microsoft.com/office/drawing/2014/main" id="{8436D208-089B-43C1-83F6-9F0270632AB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2" name="TextBox 1">
          <a:extLst>
            <a:ext uri="{FF2B5EF4-FFF2-40B4-BE49-F238E27FC236}">
              <a16:creationId xmlns:a16="http://schemas.microsoft.com/office/drawing/2014/main" id="{9B56C4D1-6BFF-44F1-A3E5-053CC32CA8E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3" name="TextBox 3742">
          <a:extLst>
            <a:ext uri="{FF2B5EF4-FFF2-40B4-BE49-F238E27FC236}">
              <a16:creationId xmlns:a16="http://schemas.microsoft.com/office/drawing/2014/main" id="{91DF57A8-40A7-4D22-873F-52C9F16EA71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4" name="TextBox 3743">
          <a:extLst>
            <a:ext uri="{FF2B5EF4-FFF2-40B4-BE49-F238E27FC236}">
              <a16:creationId xmlns:a16="http://schemas.microsoft.com/office/drawing/2014/main" id="{998D2285-9DD4-463A-8A6C-56217A64FA3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5" name="TextBox 1">
          <a:extLst>
            <a:ext uri="{FF2B5EF4-FFF2-40B4-BE49-F238E27FC236}">
              <a16:creationId xmlns:a16="http://schemas.microsoft.com/office/drawing/2014/main" id="{BBEAF9CB-F1A9-4C17-BBFC-6E70FC544D3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6" name="TextBox 1">
          <a:extLst>
            <a:ext uri="{FF2B5EF4-FFF2-40B4-BE49-F238E27FC236}">
              <a16:creationId xmlns:a16="http://schemas.microsoft.com/office/drawing/2014/main" id="{F02EB881-A14A-4D37-8648-0E5C8AFAB7B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7" name="TextBox 3746">
          <a:extLst>
            <a:ext uri="{FF2B5EF4-FFF2-40B4-BE49-F238E27FC236}">
              <a16:creationId xmlns:a16="http://schemas.microsoft.com/office/drawing/2014/main" id="{A831D648-608F-462F-962B-758E0BF2BE9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8" name="TextBox 3747">
          <a:extLst>
            <a:ext uri="{FF2B5EF4-FFF2-40B4-BE49-F238E27FC236}">
              <a16:creationId xmlns:a16="http://schemas.microsoft.com/office/drawing/2014/main" id="{9544435E-5381-4B7B-9DC2-CD69B6E7206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49" name="TextBox 1">
          <a:extLst>
            <a:ext uri="{FF2B5EF4-FFF2-40B4-BE49-F238E27FC236}">
              <a16:creationId xmlns:a16="http://schemas.microsoft.com/office/drawing/2014/main" id="{443B2E9C-D163-46FC-A354-B28F701B513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0" name="TextBox 1">
          <a:extLst>
            <a:ext uri="{FF2B5EF4-FFF2-40B4-BE49-F238E27FC236}">
              <a16:creationId xmlns:a16="http://schemas.microsoft.com/office/drawing/2014/main" id="{AEC07FF9-1F62-4671-958E-ACC1420602F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1" name="TextBox 3750">
          <a:extLst>
            <a:ext uri="{FF2B5EF4-FFF2-40B4-BE49-F238E27FC236}">
              <a16:creationId xmlns:a16="http://schemas.microsoft.com/office/drawing/2014/main" id="{ACB4F8D3-00C6-4FEF-9266-56D88153C7E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2" name="TextBox 3751">
          <a:extLst>
            <a:ext uri="{FF2B5EF4-FFF2-40B4-BE49-F238E27FC236}">
              <a16:creationId xmlns:a16="http://schemas.microsoft.com/office/drawing/2014/main" id="{DB6CC349-A9B1-41EE-8F7B-D95F04C396B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3" name="TextBox 1">
          <a:extLst>
            <a:ext uri="{FF2B5EF4-FFF2-40B4-BE49-F238E27FC236}">
              <a16:creationId xmlns:a16="http://schemas.microsoft.com/office/drawing/2014/main" id="{6028D6E4-8EEB-4267-85BC-02C40A96063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4" name="TextBox 1">
          <a:extLst>
            <a:ext uri="{FF2B5EF4-FFF2-40B4-BE49-F238E27FC236}">
              <a16:creationId xmlns:a16="http://schemas.microsoft.com/office/drawing/2014/main" id="{6461F6C1-5CA0-4DF2-8F76-FF9918A2F2A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5" name="TextBox 3754">
          <a:extLst>
            <a:ext uri="{FF2B5EF4-FFF2-40B4-BE49-F238E27FC236}">
              <a16:creationId xmlns:a16="http://schemas.microsoft.com/office/drawing/2014/main" id="{A3E1E19E-8DDD-4D38-9FA4-61E8C41B90E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6" name="TextBox 3755">
          <a:extLst>
            <a:ext uri="{FF2B5EF4-FFF2-40B4-BE49-F238E27FC236}">
              <a16:creationId xmlns:a16="http://schemas.microsoft.com/office/drawing/2014/main" id="{BAEB9F3D-FDD2-4C2B-8283-DE70426415E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7" name="TextBox 1">
          <a:extLst>
            <a:ext uri="{FF2B5EF4-FFF2-40B4-BE49-F238E27FC236}">
              <a16:creationId xmlns:a16="http://schemas.microsoft.com/office/drawing/2014/main" id="{2DB330ED-BF41-44C0-B6FE-74677A78314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8" name="TextBox 1">
          <a:extLst>
            <a:ext uri="{FF2B5EF4-FFF2-40B4-BE49-F238E27FC236}">
              <a16:creationId xmlns:a16="http://schemas.microsoft.com/office/drawing/2014/main" id="{2B4BE01E-B86B-432E-B179-98A60E4AF3C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59" name="TextBox 3758">
          <a:extLst>
            <a:ext uri="{FF2B5EF4-FFF2-40B4-BE49-F238E27FC236}">
              <a16:creationId xmlns:a16="http://schemas.microsoft.com/office/drawing/2014/main" id="{DCB0DD09-E485-40A8-948B-66212D9CEEE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0" name="TextBox 3759">
          <a:extLst>
            <a:ext uri="{FF2B5EF4-FFF2-40B4-BE49-F238E27FC236}">
              <a16:creationId xmlns:a16="http://schemas.microsoft.com/office/drawing/2014/main" id="{32D95983-952C-4A67-8D37-7593BC08562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1" name="TextBox 1">
          <a:extLst>
            <a:ext uri="{FF2B5EF4-FFF2-40B4-BE49-F238E27FC236}">
              <a16:creationId xmlns:a16="http://schemas.microsoft.com/office/drawing/2014/main" id="{E8AB78A2-56D3-4C71-B973-3FB5EF47A06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2" name="TextBox 1">
          <a:extLst>
            <a:ext uri="{FF2B5EF4-FFF2-40B4-BE49-F238E27FC236}">
              <a16:creationId xmlns:a16="http://schemas.microsoft.com/office/drawing/2014/main" id="{3F9A4F05-2811-4299-98E1-6B8BEC67187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3" name="TextBox 3762">
          <a:extLst>
            <a:ext uri="{FF2B5EF4-FFF2-40B4-BE49-F238E27FC236}">
              <a16:creationId xmlns:a16="http://schemas.microsoft.com/office/drawing/2014/main" id="{9BF7E99D-8160-47DA-9946-6201F15A722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4" name="TextBox 3763">
          <a:extLst>
            <a:ext uri="{FF2B5EF4-FFF2-40B4-BE49-F238E27FC236}">
              <a16:creationId xmlns:a16="http://schemas.microsoft.com/office/drawing/2014/main" id="{6E5E61A8-EF22-4E26-8659-E13B22D4F61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5" name="TextBox 3764">
          <a:extLst>
            <a:ext uri="{FF2B5EF4-FFF2-40B4-BE49-F238E27FC236}">
              <a16:creationId xmlns:a16="http://schemas.microsoft.com/office/drawing/2014/main" id="{C0AED0BD-141D-4B0A-BAE6-44FF8CFB3B7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6" name="TextBox 1">
          <a:extLst>
            <a:ext uri="{FF2B5EF4-FFF2-40B4-BE49-F238E27FC236}">
              <a16:creationId xmlns:a16="http://schemas.microsoft.com/office/drawing/2014/main" id="{6799F052-19C0-4B1A-AE0E-8FDEEEC3FEF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7" name="TextBox 1">
          <a:extLst>
            <a:ext uri="{FF2B5EF4-FFF2-40B4-BE49-F238E27FC236}">
              <a16:creationId xmlns:a16="http://schemas.microsoft.com/office/drawing/2014/main" id="{6215EF8E-784B-4468-BE15-861468B57BAE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8" name="TextBox 3767">
          <a:extLst>
            <a:ext uri="{FF2B5EF4-FFF2-40B4-BE49-F238E27FC236}">
              <a16:creationId xmlns:a16="http://schemas.microsoft.com/office/drawing/2014/main" id="{EFF2FC87-4DA9-450C-A5C0-01DE94029C0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69" name="TextBox 3768">
          <a:extLst>
            <a:ext uri="{FF2B5EF4-FFF2-40B4-BE49-F238E27FC236}">
              <a16:creationId xmlns:a16="http://schemas.microsoft.com/office/drawing/2014/main" id="{680064B4-5148-4335-A717-04E352F2384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0" name="TextBox 1">
          <a:extLst>
            <a:ext uri="{FF2B5EF4-FFF2-40B4-BE49-F238E27FC236}">
              <a16:creationId xmlns:a16="http://schemas.microsoft.com/office/drawing/2014/main" id="{F63ED4DD-B05B-4346-905C-B69A8D40166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1" name="TextBox 1">
          <a:extLst>
            <a:ext uri="{FF2B5EF4-FFF2-40B4-BE49-F238E27FC236}">
              <a16:creationId xmlns:a16="http://schemas.microsoft.com/office/drawing/2014/main" id="{3196A619-2776-4C55-B71E-0822C49614F7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2" name="TextBox 3771">
          <a:extLst>
            <a:ext uri="{FF2B5EF4-FFF2-40B4-BE49-F238E27FC236}">
              <a16:creationId xmlns:a16="http://schemas.microsoft.com/office/drawing/2014/main" id="{21106C1D-290A-4F93-A5B2-21C7D1913FC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3" name="TextBox 3772">
          <a:extLst>
            <a:ext uri="{FF2B5EF4-FFF2-40B4-BE49-F238E27FC236}">
              <a16:creationId xmlns:a16="http://schemas.microsoft.com/office/drawing/2014/main" id="{EC9EBFAB-C6FC-4E18-9CEB-46CF54E8CDA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4" name="TextBox 1">
          <a:extLst>
            <a:ext uri="{FF2B5EF4-FFF2-40B4-BE49-F238E27FC236}">
              <a16:creationId xmlns:a16="http://schemas.microsoft.com/office/drawing/2014/main" id="{4B8BEF35-6B0A-43B3-8424-3C241A2560D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5" name="TextBox 1">
          <a:extLst>
            <a:ext uri="{FF2B5EF4-FFF2-40B4-BE49-F238E27FC236}">
              <a16:creationId xmlns:a16="http://schemas.microsoft.com/office/drawing/2014/main" id="{E10841FA-0899-4F74-A938-5FC89894AF9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6" name="TextBox 3775">
          <a:extLst>
            <a:ext uri="{FF2B5EF4-FFF2-40B4-BE49-F238E27FC236}">
              <a16:creationId xmlns:a16="http://schemas.microsoft.com/office/drawing/2014/main" id="{7905CF39-C010-45B7-89EB-040532E0F5A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7" name="TextBox 3776">
          <a:extLst>
            <a:ext uri="{FF2B5EF4-FFF2-40B4-BE49-F238E27FC236}">
              <a16:creationId xmlns:a16="http://schemas.microsoft.com/office/drawing/2014/main" id="{628B6FF3-33A0-4088-B09C-1FD5633BE27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8" name="TextBox 1">
          <a:extLst>
            <a:ext uri="{FF2B5EF4-FFF2-40B4-BE49-F238E27FC236}">
              <a16:creationId xmlns:a16="http://schemas.microsoft.com/office/drawing/2014/main" id="{D3E46BE2-E6DA-4BA0-85CB-A94A53A3BF8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79" name="TextBox 1">
          <a:extLst>
            <a:ext uri="{FF2B5EF4-FFF2-40B4-BE49-F238E27FC236}">
              <a16:creationId xmlns:a16="http://schemas.microsoft.com/office/drawing/2014/main" id="{CCA286AF-1112-450E-A6D0-DAF96402B30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0" name="TextBox 3779">
          <a:extLst>
            <a:ext uri="{FF2B5EF4-FFF2-40B4-BE49-F238E27FC236}">
              <a16:creationId xmlns:a16="http://schemas.microsoft.com/office/drawing/2014/main" id="{7191A8C1-0D5B-4096-9D4F-831D02A473A6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1" name="TextBox 3780">
          <a:extLst>
            <a:ext uri="{FF2B5EF4-FFF2-40B4-BE49-F238E27FC236}">
              <a16:creationId xmlns:a16="http://schemas.microsoft.com/office/drawing/2014/main" id="{A81538D7-7D01-429C-BA72-2FB0559979E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2" name="TextBox 1">
          <a:extLst>
            <a:ext uri="{FF2B5EF4-FFF2-40B4-BE49-F238E27FC236}">
              <a16:creationId xmlns:a16="http://schemas.microsoft.com/office/drawing/2014/main" id="{45D5619E-4627-4D2A-8FD8-8A5521768C9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3" name="TextBox 1">
          <a:extLst>
            <a:ext uri="{FF2B5EF4-FFF2-40B4-BE49-F238E27FC236}">
              <a16:creationId xmlns:a16="http://schemas.microsoft.com/office/drawing/2014/main" id="{AAA1FD37-ACC4-4771-B3E2-04FD339DDBB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4" name="TextBox 3783">
          <a:extLst>
            <a:ext uri="{FF2B5EF4-FFF2-40B4-BE49-F238E27FC236}">
              <a16:creationId xmlns:a16="http://schemas.microsoft.com/office/drawing/2014/main" id="{14283E3C-58A7-4DF7-9470-7480645B9B6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5" name="TextBox 3784">
          <a:extLst>
            <a:ext uri="{FF2B5EF4-FFF2-40B4-BE49-F238E27FC236}">
              <a16:creationId xmlns:a16="http://schemas.microsoft.com/office/drawing/2014/main" id="{B096FC09-F129-40D3-B207-A3D6A7F00B7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6" name="TextBox 1">
          <a:extLst>
            <a:ext uri="{FF2B5EF4-FFF2-40B4-BE49-F238E27FC236}">
              <a16:creationId xmlns:a16="http://schemas.microsoft.com/office/drawing/2014/main" id="{5C5D0FE8-AFC2-41C8-B63A-9B8D3899AD7A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7" name="TextBox 1">
          <a:extLst>
            <a:ext uri="{FF2B5EF4-FFF2-40B4-BE49-F238E27FC236}">
              <a16:creationId xmlns:a16="http://schemas.microsoft.com/office/drawing/2014/main" id="{6F1C43FE-8CC0-4FAC-8B2D-BD10C6AC9B84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8" name="TextBox 3787">
          <a:extLst>
            <a:ext uri="{FF2B5EF4-FFF2-40B4-BE49-F238E27FC236}">
              <a16:creationId xmlns:a16="http://schemas.microsoft.com/office/drawing/2014/main" id="{CCFD0E38-288E-4EF3-9DDA-AAE57357A22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89" name="TextBox 3788">
          <a:extLst>
            <a:ext uri="{FF2B5EF4-FFF2-40B4-BE49-F238E27FC236}">
              <a16:creationId xmlns:a16="http://schemas.microsoft.com/office/drawing/2014/main" id="{A5C5784A-AFE9-4E85-823F-30452120C2B3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0" name="TextBox 1">
          <a:extLst>
            <a:ext uri="{FF2B5EF4-FFF2-40B4-BE49-F238E27FC236}">
              <a16:creationId xmlns:a16="http://schemas.microsoft.com/office/drawing/2014/main" id="{0C6D6686-F513-49E3-9CB9-F15FD03C4F6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1" name="TextBox 1">
          <a:extLst>
            <a:ext uri="{FF2B5EF4-FFF2-40B4-BE49-F238E27FC236}">
              <a16:creationId xmlns:a16="http://schemas.microsoft.com/office/drawing/2014/main" id="{BE02E937-DF17-4194-A48B-F9A9BCDEE001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2" name="TextBox 3791">
          <a:extLst>
            <a:ext uri="{FF2B5EF4-FFF2-40B4-BE49-F238E27FC236}">
              <a16:creationId xmlns:a16="http://schemas.microsoft.com/office/drawing/2014/main" id="{3AF13EDB-C4A5-452F-BBEB-61664123239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3" name="TextBox 3792">
          <a:extLst>
            <a:ext uri="{FF2B5EF4-FFF2-40B4-BE49-F238E27FC236}">
              <a16:creationId xmlns:a16="http://schemas.microsoft.com/office/drawing/2014/main" id="{57335467-B757-46CC-BF0D-E7A88BF9C0D0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4" name="TextBox 1">
          <a:extLst>
            <a:ext uri="{FF2B5EF4-FFF2-40B4-BE49-F238E27FC236}">
              <a16:creationId xmlns:a16="http://schemas.microsoft.com/office/drawing/2014/main" id="{94775349-C045-4BDC-8E4D-E6204AA206F9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5" name="TextBox 1">
          <a:extLst>
            <a:ext uri="{FF2B5EF4-FFF2-40B4-BE49-F238E27FC236}">
              <a16:creationId xmlns:a16="http://schemas.microsoft.com/office/drawing/2014/main" id="{16F6E508-0A03-43CE-AB1B-C3924AD1822F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6" name="TextBox 3795">
          <a:extLst>
            <a:ext uri="{FF2B5EF4-FFF2-40B4-BE49-F238E27FC236}">
              <a16:creationId xmlns:a16="http://schemas.microsoft.com/office/drawing/2014/main" id="{DC6C145F-DFC8-4F52-8434-87DAD4C2F8AB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7" name="TextBox 3796">
          <a:extLst>
            <a:ext uri="{FF2B5EF4-FFF2-40B4-BE49-F238E27FC236}">
              <a16:creationId xmlns:a16="http://schemas.microsoft.com/office/drawing/2014/main" id="{128194CF-B68E-42A8-AF0F-CC327D30112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8" name="TextBox 1">
          <a:extLst>
            <a:ext uri="{FF2B5EF4-FFF2-40B4-BE49-F238E27FC236}">
              <a16:creationId xmlns:a16="http://schemas.microsoft.com/office/drawing/2014/main" id="{2F9AA942-9500-4D31-B0B2-8B6033645F6C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799" name="TextBox 1">
          <a:extLst>
            <a:ext uri="{FF2B5EF4-FFF2-40B4-BE49-F238E27FC236}">
              <a16:creationId xmlns:a16="http://schemas.microsoft.com/office/drawing/2014/main" id="{E0549C41-47B7-4BBF-A89B-B385203D98A2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7</xdr:col>
      <xdr:colOff>3167743</xdr:colOff>
      <xdr:row>28</xdr:row>
      <xdr:rowOff>0</xdr:rowOff>
    </xdr:from>
    <xdr:ext cx="65" cy="172227"/>
    <xdr:sp macro="" textlink="">
      <xdr:nvSpPr>
        <xdr:cNvPr id="3800" name="TextBox 3799">
          <a:extLst>
            <a:ext uri="{FF2B5EF4-FFF2-40B4-BE49-F238E27FC236}">
              <a16:creationId xmlns:a16="http://schemas.microsoft.com/office/drawing/2014/main" id="{25DE1B99-D0EE-4F98-B177-EDE794564135}"/>
            </a:ext>
          </a:extLst>
        </xdr:cNvPr>
        <xdr:cNvSpPr txBox="1"/>
      </xdr:nvSpPr>
      <xdr:spPr>
        <a:xfrm>
          <a:off x="9263743" y="150190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alleywaterco-my.sharepoint.com/personal/ahmed_elmorshedy_valleywaterco_com/Documents/Desktop/Sep.%20Dispatching%20Mustord%202025.xlsx" TargetMode="External"/><Relationship Id="rId1" Type="http://schemas.openxmlformats.org/officeDocument/2006/relationships/externalLinkPath" Target="https://valleywaterco-my.sharepoint.com/personal/ahmed_elmorshedy_valleywaterco_com/Documents/Desktop/Sep.%20Dispatching%20Mustord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Mostroud (2)"/>
      <sheetName val="Sheet2"/>
      <sheetName val="Mostroud"/>
      <sheetName val="Mustrod Price"/>
      <sheetName val="DB"/>
      <sheetName val="Salse orders"/>
      <sheetName val="Broug"/>
      <sheetName val="QTY"/>
      <sheetName val="Monthly Hassan"/>
      <sheetName val="Transporter"/>
      <sheetName val="Prices"/>
      <sheetName val="Sep. Dispatching Mustord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C85E-8053-4C5D-83A9-B53D0C97AA56}">
  <dimension ref="A1:AC102"/>
  <sheetViews>
    <sheetView workbookViewId="0">
      <selection activeCell="B17" sqref="B17"/>
    </sheetView>
  </sheetViews>
  <sheetFormatPr defaultRowHeight="14.4" x14ac:dyDescent="0.3"/>
  <cols>
    <col min="1" max="1" width="5.77734375" customWidth="1"/>
    <col min="2" max="2" width="12.109375" style="16" customWidth="1"/>
    <col min="3" max="3" width="12.109375" customWidth="1"/>
    <col min="4" max="4" width="16.5546875" customWidth="1"/>
    <col min="5" max="5" width="13.33203125" customWidth="1"/>
    <col min="6" max="6" width="77" customWidth="1"/>
    <col min="7" max="7" width="15" customWidth="1"/>
    <col min="8" max="8" width="13.44140625" customWidth="1"/>
    <col min="9" max="9" width="64.6640625" customWidth="1"/>
    <col min="10" max="10" width="13.109375" customWidth="1"/>
    <col min="11" max="21" width="9.88671875" customWidth="1"/>
    <col min="22" max="22" width="12.33203125" customWidth="1"/>
    <col min="23" max="23" width="17.5546875" customWidth="1"/>
    <col min="28" max="28" width="12.109375" customWidth="1"/>
    <col min="29" max="29" width="15" customWidth="1"/>
  </cols>
  <sheetData>
    <row r="1" spans="1:29" x14ac:dyDescent="0.3">
      <c r="D1" s="3" t="str">
        <f>_xlfn.CONCAT(D55,",",D78,",",D77,",",D76,",",D75,",",D74,",",D73,",",D72,",",D71,",",D70,",",D69,",",D68,",",D67,",",D66,",",D66,",",D65,",",D64,",",D63,",",D62,",",D61,",",D60,",",D59,",",D58,",",D57,",",D56)</f>
        <v>SO-150638,,,,,,,,,,,,,,,SO-150760,SO-150757,SO-150776,SO-150765,SO-150764,SO-150836,SO-150835,SO-150833,SO-150825,SO-150596</v>
      </c>
      <c r="K1" s="24">
        <f t="shared" ref="K1:S1" si="0">K2-K3</f>
        <v>2922</v>
      </c>
      <c r="L1" s="24">
        <f t="shared" si="0"/>
        <v>6179</v>
      </c>
      <c r="M1" s="24">
        <f t="shared" si="0"/>
        <v>-276</v>
      </c>
      <c r="N1" s="24">
        <f t="shared" si="0"/>
        <v>639</v>
      </c>
      <c r="O1" s="24">
        <f t="shared" si="0"/>
        <v>2</v>
      </c>
      <c r="P1" s="24">
        <f t="shared" si="0"/>
        <v>1098</v>
      </c>
      <c r="Q1" s="24">
        <f t="shared" si="0"/>
        <v>0</v>
      </c>
      <c r="R1" s="24">
        <f t="shared" si="0"/>
        <v>200</v>
      </c>
      <c r="S1" s="24">
        <f t="shared" si="0"/>
        <v>-1</v>
      </c>
    </row>
    <row r="2" spans="1:29" x14ac:dyDescent="0.3">
      <c r="D2" s="3" t="str">
        <f>_xlfn.CONCAT(D30,",",D31,",",D32,",",D33,",",D34,",",D35,",",D36,",",D37,",",D38,",",D39,",",D40,",",D41,",",D42,",",D43,",",D44,",",D45,",",D46,",",D47,",",D48,",",D49,",",D50,",",D51,",",D52,",",D53,",",D54)</f>
        <v>SO-150791,SO-150815,SO-150792,SO-150773,SO-150799,SO-150806,SO-150807,SO-150782,SO-150797,SO-150798,SO-150778,SO-150779,SO-150780,SO-150789,SO-150810,SO-150786,SO-150873,SO-150862,SO-150703,SO-150704,SO-150706,SO-150712,SO-150839,SO-150842,SO-150847</v>
      </c>
      <c r="K2">
        <v>4160</v>
      </c>
      <c r="L2">
        <v>6964</v>
      </c>
      <c r="M2">
        <v>447</v>
      </c>
      <c r="N2">
        <v>2040</v>
      </c>
      <c r="O2">
        <v>965</v>
      </c>
      <c r="P2">
        <v>1933</v>
      </c>
      <c r="R2">
        <v>200</v>
      </c>
    </row>
    <row r="3" spans="1:29" x14ac:dyDescent="0.3">
      <c r="D3" s="3" t="str">
        <f>_xlfn.CONCAT(D5,",",D6,",",D7,",",D8,",",D9,",",D10,",",D11,",",D12,",",D13,",",D14,",",D15,",",D16,",",D17,",",D18,",",D19,",",D20,",",D21,",",D22,",",D23,",",D24,",",D25,",",D26,",",D27,",",D28,",",D29)</f>
        <v>SO-150858,SO-150826,SO-150860,SO-150831,SO-150846,SO-150840,SO-150845,SO-150843,SO-150848,SO-150851,SO-150753,SO-150755,SO-150588,SO-150871,SO-150740,SO-150742,SO-150823,SO-150824,SO-150849,SO-150827,SO-150834,SO-150841,SO-150793,SO-150803,SO-150870</v>
      </c>
      <c r="K3" s="14">
        <f t="shared" ref="K3:U3" si="1">SUM(K5:K93)</f>
        <v>1238</v>
      </c>
      <c r="L3" s="14">
        <f t="shared" si="1"/>
        <v>785</v>
      </c>
      <c r="M3" s="14">
        <f t="shared" si="1"/>
        <v>723</v>
      </c>
      <c r="N3" s="14">
        <f t="shared" si="1"/>
        <v>1401</v>
      </c>
      <c r="O3" s="14">
        <f t="shared" si="1"/>
        <v>963</v>
      </c>
      <c r="P3" s="14">
        <f t="shared" si="1"/>
        <v>835</v>
      </c>
      <c r="Q3" s="14">
        <f t="shared" si="1"/>
        <v>0</v>
      </c>
      <c r="R3" s="14">
        <f t="shared" si="1"/>
        <v>0</v>
      </c>
      <c r="S3" s="14">
        <f t="shared" si="1"/>
        <v>1</v>
      </c>
      <c r="T3" s="14">
        <f t="shared" si="1"/>
        <v>3</v>
      </c>
      <c r="U3" s="14">
        <f t="shared" si="1"/>
        <v>0</v>
      </c>
      <c r="V3" s="13">
        <f>SUM(V5:V2011)/2</f>
        <v>5949</v>
      </c>
      <c r="W3" s="13">
        <f>T3+M3+L3+K3</f>
        <v>2749</v>
      </c>
      <c r="X3" s="13">
        <f>N3+O3+P3+U3+Q3+R3+S3</f>
        <v>3200</v>
      </c>
      <c r="Y3" s="14">
        <f>X3*0.6</f>
        <v>1920</v>
      </c>
      <c r="Z3" s="15">
        <f>Y3+W3</f>
        <v>4669</v>
      </c>
    </row>
    <row r="4" spans="1:29" ht="43.8" customHeight="1" thickBot="1" x14ac:dyDescent="0.35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15</v>
      </c>
      <c r="G4" s="12" t="s">
        <v>26</v>
      </c>
      <c r="H4" s="12" t="s">
        <v>33</v>
      </c>
      <c r="I4" s="12" t="s">
        <v>35</v>
      </c>
      <c r="J4" s="12" t="s">
        <v>49</v>
      </c>
      <c r="K4" s="12" t="s">
        <v>74</v>
      </c>
      <c r="L4" s="12" t="s">
        <v>75</v>
      </c>
      <c r="M4" s="12" t="s">
        <v>65</v>
      </c>
      <c r="N4" s="12" t="s">
        <v>83</v>
      </c>
      <c r="O4" s="12" t="s">
        <v>84</v>
      </c>
      <c r="P4" s="12" t="s">
        <v>85</v>
      </c>
      <c r="Q4" s="12" t="s">
        <v>124</v>
      </c>
      <c r="R4" s="12" t="s">
        <v>125</v>
      </c>
      <c r="S4" s="12" t="s">
        <v>126</v>
      </c>
      <c r="T4" s="12" t="s">
        <v>76</v>
      </c>
      <c r="U4" s="12" t="s">
        <v>127</v>
      </c>
      <c r="V4" s="12" t="s">
        <v>61</v>
      </c>
      <c r="W4" s="11" t="s">
        <v>62</v>
      </c>
      <c r="X4" s="11" t="s">
        <v>63</v>
      </c>
    </row>
    <row r="5" spans="1:29" x14ac:dyDescent="0.3">
      <c r="A5">
        <v>1</v>
      </c>
      <c r="B5" s="2">
        <f t="shared" ref="B5:B68" si="2">$I$94</f>
        <v>45901</v>
      </c>
      <c r="C5" t="s">
        <v>379</v>
      </c>
      <c r="D5" s="4" t="s">
        <v>303</v>
      </c>
      <c r="E5" s="4" t="s">
        <v>230</v>
      </c>
      <c r="F5" s="4" t="s">
        <v>231</v>
      </c>
      <c r="G5" s="4" t="s">
        <v>28</v>
      </c>
      <c r="H5" s="4">
        <v>0</v>
      </c>
      <c r="I5" s="4" t="s">
        <v>232</v>
      </c>
      <c r="J5" s="4" t="s">
        <v>60</v>
      </c>
      <c r="K5" s="4">
        <v>50</v>
      </c>
      <c r="L5" s="4">
        <v>20</v>
      </c>
      <c r="M5" s="4">
        <v>30</v>
      </c>
      <c r="N5" s="4"/>
      <c r="O5" s="4">
        <v>10</v>
      </c>
      <c r="P5" s="4"/>
      <c r="Q5" s="4"/>
      <c r="R5" s="4"/>
      <c r="S5" s="4"/>
      <c r="T5" s="4"/>
      <c r="U5" s="4"/>
      <c r="V5" s="4">
        <f>SUM(K5:U5)</f>
        <v>110</v>
      </c>
      <c r="AB5" s="17">
        <f>K3</f>
        <v>1238</v>
      </c>
      <c r="AC5" s="20" t="s">
        <v>74</v>
      </c>
    </row>
    <row r="6" spans="1:29" x14ac:dyDescent="0.3">
      <c r="A6">
        <v>2</v>
      </c>
      <c r="B6" s="2">
        <f t="shared" si="2"/>
        <v>45901</v>
      </c>
      <c r="D6" s="4" t="s">
        <v>304</v>
      </c>
      <c r="E6" s="4" t="s">
        <v>163</v>
      </c>
      <c r="F6" s="4" t="s">
        <v>162</v>
      </c>
      <c r="G6" s="4" t="s">
        <v>28</v>
      </c>
      <c r="H6" s="4">
        <v>0</v>
      </c>
      <c r="I6" s="4" t="s">
        <v>128</v>
      </c>
      <c r="J6" s="4" t="s">
        <v>50</v>
      </c>
      <c r="K6" s="4"/>
      <c r="L6" s="4"/>
      <c r="M6" s="4"/>
      <c r="N6" s="4"/>
      <c r="O6" s="4"/>
      <c r="P6" s="4"/>
      <c r="Q6" s="4"/>
      <c r="R6" s="4"/>
      <c r="S6" s="4">
        <v>1</v>
      </c>
      <c r="T6" s="4"/>
      <c r="U6" s="4"/>
      <c r="V6" s="4">
        <f t="shared" ref="V6:V69" si="3">SUM(K6:U6)</f>
        <v>1</v>
      </c>
      <c r="AB6" s="18">
        <f>L3</f>
        <v>785</v>
      </c>
      <c r="AC6" s="21" t="s">
        <v>75</v>
      </c>
    </row>
    <row r="7" spans="1:29" x14ac:dyDescent="0.3">
      <c r="A7">
        <v>3</v>
      </c>
      <c r="B7" s="2">
        <f t="shared" si="2"/>
        <v>45901</v>
      </c>
      <c r="D7" s="4" t="s">
        <v>305</v>
      </c>
      <c r="E7" s="4" t="s">
        <v>161</v>
      </c>
      <c r="F7" s="4" t="s">
        <v>162</v>
      </c>
      <c r="G7" s="4" t="s">
        <v>28</v>
      </c>
      <c r="H7" s="4">
        <v>0</v>
      </c>
      <c r="I7" s="4" t="s">
        <v>128</v>
      </c>
      <c r="J7" s="4" t="s">
        <v>50</v>
      </c>
      <c r="K7" s="4"/>
      <c r="L7" s="4"/>
      <c r="M7" s="4">
        <v>20</v>
      </c>
      <c r="N7" s="4">
        <v>48</v>
      </c>
      <c r="O7" s="4">
        <v>30</v>
      </c>
      <c r="P7" s="4">
        <v>48</v>
      </c>
      <c r="Q7" s="4"/>
      <c r="R7" s="4"/>
      <c r="S7" s="4"/>
      <c r="T7" s="4"/>
      <c r="U7" s="4"/>
      <c r="V7" s="4">
        <f t="shared" si="3"/>
        <v>146</v>
      </c>
      <c r="AB7" s="18">
        <f>M3</f>
        <v>723</v>
      </c>
      <c r="AC7" s="21" t="s">
        <v>65</v>
      </c>
    </row>
    <row r="8" spans="1:29" x14ac:dyDescent="0.3">
      <c r="A8">
        <v>4</v>
      </c>
      <c r="B8" s="2">
        <f t="shared" si="2"/>
        <v>45901</v>
      </c>
      <c r="D8" s="4" t="s">
        <v>306</v>
      </c>
      <c r="E8" s="4" t="s">
        <v>158</v>
      </c>
      <c r="F8" s="4" t="s">
        <v>159</v>
      </c>
      <c r="G8" s="4" t="s">
        <v>28</v>
      </c>
      <c r="H8" s="4">
        <v>0</v>
      </c>
      <c r="I8" s="4" t="s">
        <v>160</v>
      </c>
      <c r="J8" s="4" t="s">
        <v>50</v>
      </c>
      <c r="K8" s="4">
        <v>50</v>
      </c>
      <c r="L8" s="4">
        <v>30</v>
      </c>
      <c r="M8" s="4">
        <v>20</v>
      </c>
      <c r="N8" s="4"/>
      <c r="O8" s="4"/>
      <c r="P8" s="4">
        <v>30</v>
      </c>
      <c r="Q8" s="4"/>
      <c r="R8" s="4"/>
      <c r="S8" s="4"/>
      <c r="T8" s="4"/>
      <c r="U8" s="4"/>
      <c r="V8" s="4">
        <f t="shared" si="3"/>
        <v>130</v>
      </c>
      <c r="AB8" s="18">
        <f>N3</f>
        <v>1401</v>
      </c>
      <c r="AC8" s="21" t="s">
        <v>83</v>
      </c>
    </row>
    <row r="9" spans="1:29" x14ac:dyDescent="0.3">
      <c r="A9">
        <v>5</v>
      </c>
      <c r="B9" s="2">
        <f t="shared" si="2"/>
        <v>45901</v>
      </c>
      <c r="D9" s="4" t="s">
        <v>307</v>
      </c>
      <c r="E9" s="4" t="s">
        <v>132</v>
      </c>
      <c r="F9" s="4" t="s">
        <v>133</v>
      </c>
      <c r="G9" s="4" t="s">
        <v>27</v>
      </c>
      <c r="H9" s="4">
        <v>0</v>
      </c>
      <c r="I9" s="4" t="s">
        <v>134</v>
      </c>
      <c r="J9" s="4" t="s">
        <v>56</v>
      </c>
      <c r="K9" s="4">
        <v>30</v>
      </c>
      <c r="L9" s="4">
        <v>30</v>
      </c>
      <c r="M9" s="4">
        <v>30</v>
      </c>
      <c r="N9" s="4"/>
      <c r="O9" s="4"/>
      <c r="P9" s="4"/>
      <c r="Q9" s="4"/>
      <c r="R9" s="4"/>
      <c r="S9" s="4"/>
      <c r="T9" s="4"/>
      <c r="U9" s="4"/>
      <c r="V9" s="4">
        <f t="shared" si="3"/>
        <v>90</v>
      </c>
      <c r="AB9" s="18">
        <f>O3</f>
        <v>963</v>
      </c>
      <c r="AC9" s="21" t="s">
        <v>84</v>
      </c>
    </row>
    <row r="10" spans="1:29" x14ac:dyDescent="0.3">
      <c r="A10">
        <v>6</v>
      </c>
      <c r="B10" s="2">
        <f t="shared" si="2"/>
        <v>45901</v>
      </c>
      <c r="D10" s="4" t="s">
        <v>308</v>
      </c>
      <c r="E10" s="4" t="s">
        <v>309</v>
      </c>
      <c r="F10" s="4" t="s">
        <v>310</v>
      </c>
      <c r="G10" s="4" t="s">
        <v>28</v>
      </c>
      <c r="H10" s="4">
        <v>0</v>
      </c>
      <c r="I10" s="4" t="s">
        <v>311</v>
      </c>
      <c r="J10" s="4" t="s">
        <v>55</v>
      </c>
      <c r="K10" s="4">
        <v>30</v>
      </c>
      <c r="L10" s="4">
        <v>40</v>
      </c>
      <c r="M10" s="4">
        <v>50</v>
      </c>
      <c r="N10" s="4"/>
      <c r="O10" s="4"/>
      <c r="P10" s="4"/>
      <c r="Q10" s="4"/>
      <c r="R10" s="4"/>
      <c r="S10" s="4"/>
      <c r="T10" s="4"/>
      <c r="U10" s="4"/>
      <c r="V10" s="4">
        <f t="shared" si="3"/>
        <v>120</v>
      </c>
      <c r="AB10" s="18">
        <f>P3</f>
        <v>835</v>
      </c>
      <c r="AC10" s="21" t="s">
        <v>85</v>
      </c>
    </row>
    <row r="11" spans="1:29" x14ac:dyDescent="0.3">
      <c r="A11">
        <v>7</v>
      </c>
      <c r="B11" s="2">
        <f t="shared" si="2"/>
        <v>45901</v>
      </c>
      <c r="D11" s="4" t="s">
        <v>312</v>
      </c>
      <c r="E11" s="4" t="s">
        <v>186</v>
      </c>
      <c r="F11" s="4" t="s">
        <v>187</v>
      </c>
      <c r="G11" s="4" t="s">
        <v>27</v>
      </c>
      <c r="H11" s="4">
        <v>0</v>
      </c>
      <c r="I11" s="4" t="s">
        <v>188</v>
      </c>
      <c r="J11" s="4" t="s">
        <v>50</v>
      </c>
      <c r="K11" s="4">
        <v>30</v>
      </c>
      <c r="L11" s="4">
        <v>30</v>
      </c>
      <c r="M11" s="4">
        <v>0</v>
      </c>
      <c r="N11" s="4"/>
      <c r="O11" s="4"/>
      <c r="P11" s="4"/>
      <c r="Q11" s="4"/>
      <c r="R11" s="4"/>
      <c r="S11" s="4"/>
      <c r="T11" s="4"/>
      <c r="U11" s="4"/>
      <c r="V11" s="4">
        <f t="shared" si="3"/>
        <v>60</v>
      </c>
      <c r="AB11" s="18">
        <f>Q3</f>
        <v>0</v>
      </c>
      <c r="AC11" s="21" t="s">
        <v>124</v>
      </c>
    </row>
    <row r="12" spans="1:29" x14ac:dyDescent="0.3">
      <c r="A12">
        <v>8</v>
      </c>
      <c r="B12" s="2">
        <f t="shared" si="2"/>
        <v>45901</v>
      </c>
      <c r="D12" s="4" t="s">
        <v>313</v>
      </c>
      <c r="E12" s="4" t="s">
        <v>68</v>
      </c>
      <c r="F12" s="4" t="s">
        <v>69</v>
      </c>
      <c r="G12" s="4" t="s">
        <v>28</v>
      </c>
      <c r="H12" s="4">
        <v>0</v>
      </c>
      <c r="I12" s="4" t="s">
        <v>73</v>
      </c>
      <c r="J12" s="4" t="s">
        <v>50</v>
      </c>
      <c r="K12" s="4">
        <v>60</v>
      </c>
      <c r="L12" s="4">
        <v>40</v>
      </c>
      <c r="M12" s="4">
        <v>35</v>
      </c>
      <c r="N12" s="4"/>
      <c r="O12" s="4"/>
      <c r="P12" s="4">
        <v>50</v>
      </c>
      <c r="Q12" s="4"/>
      <c r="R12" s="4"/>
      <c r="S12" s="4"/>
      <c r="T12" s="4"/>
      <c r="U12" s="4"/>
      <c r="V12" s="4">
        <f t="shared" si="3"/>
        <v>185</v>
      </c>
      <c r="AB12" s="18">
        <f>R3</f>
        <v>0</v>
      </c>
      <c r="AC12" s="21" t="s">
        <v>125</v>
      </c>
    </row>
    <row r="13" spans="1:29" x14ac:dyDescent="0.3">
      <c r="A13">
        <v>9</v>
      </c>
      <c r="B13" s="2">
        <f t="shared" si="2"/>
        <v>45901</v>
      </c>
      <c r="D13" s="4" t="s">
        <v>314</v>
      </c>
      <c r="E13" s="4" t="s">
        <v>86</v>
      </c>
      <c r="F13" s="4" t="s">
        <v>87</v>
      </c>
      <c r="G13" s="4" t="s">
        <v>28</v>
      </c>
      <c r="H13" s="4">
        <v>0</v>
      </c>
      <c r="I13" s="4" t="s">
        <v>88</v>
      </c>
      <c r="J13" s="4" t="s">
        <v>55</v>
      </c>
      <c r="K13" s="4"/>
      <c r="L13" s="4"/>
      <c r="M13" s="4">
        <v>50</v>
      </c>
      <c r="N13" s="4">
        <v>50</v>
      </c>
      <c r="O13" s="4">
        <v>30</v>
      </c>
      <c r="P13" s="4">
        <v>50</v>
      </c>
      <c r="Q13" s="4"/>
      <c r="R13" s="4"/>
      <c r="S13" s="4"/>
      <c r="T13" s="4"/>
      <c r="U13" s="4"/>
      <c r="V13" s="4">
        <f t="shared" si="3"/>
        <v>180</v>
      </c>
      <c r="AB13" s="18">
        <f>S3</f>
        <v>1</v>
      </c>
      <c r="AC13" s="21" t="s">
        <v>126</v>
      </c>
    </row>
    <row r="14" spans="1:29" x14ac:dyDescent="0.3">
      <c r="A14">
        <v>10</v>
      </c>
      <c r="B14" s="2">
        <f t="shared" si="2"/>
        <v>45901</v>
      </c>
      <c r="D14" s="4" t="s">
        <v>315</v>
      </c>
      <c r="E14" s="4" t="s">
        <v>253</v>
      </c>
      <c r="F14" s="4" t="s">
        <v>254</v>
      </c>
      <c r="G14" s="4" t="s">
        <v>28</v>
      </c>
      <c r="H14" s="4">
        <v>0</v>
      </c>
      <c r="I14" s="4" t="s">
        <v>64</v>
      </c>
      <c r="J14" s="4" t="s">
        <v>50</v>
      </c>
      <c r="K14" s="4"/>
      <c r="L14" s="4"/>
      <c r="M14" s="4">
        <v>48</v>
      </c>
      <c r="N14" s="4"/>
      <c r="O14" s="4"/>
      <c r="P14" s="4">
        <v>50</v>
      </c>
      <c r="Q14" s="4"/>
      <c r="R14" s="4"/>
      <c r="S14" s="4"/>
      <c r="T14" s="4"/>
      <c r="U14" s="4"/>
      <c r="V14" s="4">
        <f t="shared" si="3"/>
        <v>98</v>
      </c>
      <c r="AB14" s="18">
        <f>T3</f>
        <v>3</v>
      </c>
      <c r="AC14" s="21" t="s">
        <v>76</v>
      </c>
    </row>
    <row r="15" spans="1:29" x14ac:dyDescent="0.3">
      <c r="A15">
        <v>11</v>
      </c>
      <c r="B15" s="2">
        <f t="shared" si="2"/>
        <v>45901</v>
      </c>
      <c r="D15" s="4" t="s">
        <v>316</v>
      </c>
      <c r="E15" s="4" t="s">
        <v>166</v>
      </c>
      <c r="F15" s="4" t="s">
        <v>167</v>
      </c>
      <c r="G15" s="4" t="s">
        <v>28</v>
      </c>
      <c r="H15" s="4">
        <v>0</v>
      </c>
      <c r="I15" s="4" t="s">
        <v>168</v>
      </c>
      <c r="J15" s="4" t="s">
        <v>37</v>
      </c>
      <c r="K15" s="4">
        <v>50</v>
      </c>
      <c r="L15" s="4">
        <v>30</v>
      </c>
      <c r="M15" s="4">
        <v>0</v>
      </c>
      <c r="N15" s="4"/>
      <c r="O15" s="4"/>
      <c r="P15" s="4">
        <v>100</v>
      </c>
      <c r="Q15" s="4"/>
      <c r="R15" s="4"/>
      <c r="S15" s="4"/>
      <c r="T15" s="4"/>
      <c r="U15" s="4"/>
      <c r="V15" s="4">
        <f t="shared" si="3"/>
        <v>180</v>
      </c>
      <c r="AB15" s="18">
        <f>U3</f>
        <v>0</v>
      </c>
      <c r="AC15" s="21" t="s">
        <v>127</v>
      </c>
    </row>
    <row r="16" spans="1:29" ht="15" thickBot="1" x14ac:dyDescent="0.35">
      <c r="A16">
        <v>12</v>
      </c>
      <c r="B16" s="2">
        <f t="shared" si="2"/>
        <v>45901</v>
      </c>
      <c r="D16" s="4" t="s">
        <v>317</v>
      </c>
      <c r="E16" s="4" t="s">
        <v>207</v>
      </c>
      <c r="F16" s="4" t="s">
        <v>208</v>
      </c>
      <c r="G16" s="4" t="s">
        <v>28</v>
      </c>
      <c r="H16" s="4">
        <v>0</v>
      </c>
      <c r="I16" s="4" t="s">
        <v>209</v>
      </c>
      <c r="J16" s="4" t="s">
        <v>37</v>
      </c>
      <c r="K16" s="4">
        <v>50</v>
      </c>
      <c r="L16" s="4">
        <v>5</v>
      </c>
      <c r="M16" s="4">
        <v>10</v>
      </c>
      <c r="N16" s="4">
        <v>20</v>
      </c>
      <c r="O16" s="4">
        <v>10</v>
      </c>
      <c r="P16" s="4">
        <v>30</v>
      </c>
      <c r="Q16" s="4"/>
      <c r="R16" s="4"/>
      <c r="S16" s="4"/>
      <c r="T16" s="4"/>
      <c r="U16" s="4"/>
      <c r="V16" s="4">
        <f t="shared" si="3"/>
        <v>125</v>
      </c>
      <c r="AB16" s="19">
        <f>SUM(AB5:AB15)</f>
        <v>5949</v>
      </c>
      <c r="AC16" s="22" t="s">
        <v>61</v>
      </c>
    </row>
    <row r="17" spans="1:23" x14ac:dyDescent="0.3">
      <c r="A17">
        <v>13</v>
      </c>
      <c r="B17" s="2">
        <f t="shared" si="2"/>
        <v>45901</v>
      </c>
      <c r="D17" s="4" t="s">
        <v>318</v>
      </c>
      <c r="E17" s="4" t="s">
        <v>275</v>
      </c>
      <c r="F17" s="4" t="s">
        <v>282</v>
      </c>
      <c r="G17" s="4" t="s">
        <v>28</v>
      </c>
      <c r="H17" s="4">
        <v>0</v>
      </c>
      <c r="I17" s="4" t="s">
        <v>283</v>
      </c>
      <c r="J17" s="4" t="s">
        <v>55</v>
      </c>
      <c r="K17" s="4"/>
      <c r="L17" s="4">
        <v>20</v>
      </c>
      <c r="M17" s="4">
        <v>60</v>
      </c>
      <c r="N17" s="4"/>
      <c r="O17" s="4"/>
      <c r="P17" s="4">
        <v>50</v>
      </c>
      <c r="Q17" s="4"/>
      <c r="R17" s="4"/>
      <c r="S17" s="4"/>
      <c r="T17" s="4"/>
      <c r="U17" s="4"/>
      <c r="V17" s="4">
        <f t="shared" si="3"/>
        <v>130</v>
      </c>
    </row>
    <row r="18" spans="1:23" x14ac:dyDescent="0.3">
      <c r="A18">
        <v>14</v>
      </c>
      <c r="B18" s="2">
        <f t="shared" si="2"/>
        <v>45901</v>
      </c>
      <c r="D18" s="4" t="s">
        <v>319</v>
      </c>
      <c r="E18" s="4" t="s">
        <v>81</v>
      </c>
      <c r="F18" s="4" t="s">
        <v>82</v>
      </c>
      <c r="G18" s="4" t="s">
        <v>28</v>
      </c>
      <c r="H18" s="4">
        <v>0</v>
      </c>
      <c r="I18" s="4" t="s">
        <v>64</v>
      </c>
      <c r="J18" s="4" t="s">
        <v>50</v>
      </c>
      <c r="K18" s="4"/>
      <c r="L18" s="4">
        <v>30</v>
      </c>
      <c r="M18" s="4">
        <v>180</v>
      </c>
      <c r="N18" s="4">
        <v>50</v>
      </c>
      <c r="O18" s="4"/>
      <c r="P18" s="4">
        <v>50</v>
      </c>
      <c r="Q18" s="4"/>
      <c r="R18" s="4"/>
      <c r="S18" s="4"/>
      <c r="T18" s="4"/>
      <c r="U18" s="4"/>
      <c r="V18" s="4">
        <f t="shared" si="3"/>
        <v>310</v>
      </c>
    </row>
    <row r="19" spans="1:23" x14ac:dyDescent="0.3">
      <c r="A19">
        <v>15</v>
      </c>
      <c r="B19" s="2">
        <f t="shared" si="2"/>
        <v>45901</v>
      </c>
      <c r="D19" s="4" t="s">
        <v>378</v>
      </c>
      <c r="E19" s="4" t="s">
        <v>122</v>
      </c>
      <c r="F19" s="4" t="str">
        <f>VLOOKUP(E:E,[1]!Table3[[Customer account]:[Name]],2,0)</f>
        <v>H R G (Hisham Rabie) Zahraa El Maadi</v>
      </c>
      <c r="G19" s="4" t="str">
        <f>VLOOKUP(E:E,[1]!Table3[[Customer account]:[Sales group]],3,0)</f>
        <v>HoReCa</v>
      </c>
      <c r="H19" s="4" t="s">
        <v>34</v>
      </c>
      <c r="I19" s="4" t="str">
        <f>VLOOKUP(E:E,[1]!Table3[[Customer account]:[Address]],4,0)</f>
        <v>زهراء المعادي</v>
      </c>
      <c r="J19" s="4" t="str">
        <f>VLOOKUP(E:E,[1]!Table3[[Customer account]:[Area]],5,0)</f>
        <v>المعادي</v>
      </c>
      <c r="K19" s="4">
        <v>20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>
        <f t="shared" si="3"/>
        <v>20</v>
      </c>
    </row>
    <row r="20" spans="1:23" x14ac:dyDescent="0.3">
      <c r="A20">
        <v>16</v>
      </c>
      <c r="B20" s="2">
        <f t="shared" si="2"/>
        <v>45901</v>
      </c>
      <c r="D20" s="4" t="s">
        <v>320</v>
      </c>
      <c r="E20" s="4" t="s">
        <v>276</v>
      </c>
      <c r="F20" s="4" t="s">
        <v>277</v>
      </c>
      <c r="G20" s="4" t="s">
        <v>29</v>
      </c>
      <c r="H20" s="4">
        <v>0</v>
      </c>
      <c r="I20" s="4" t="s">
        <v>278</v>
      </c>
      <c r="J20" s="4" t="s">
        <v>54</v>
      </c>
      <c r="K20" s="4">
        <v>50</v>
      </c>
      <c r="L20" s="4">
        <v>50</v>
      </c>
      <c r="M20" s="4"/>
      <c r="N20" s="4"/>
      <c r="O20" s="4"/>
      <c r="P20" s="4">
        <v>40</v>
      </c>
      <c r="Q20" s="4"/>
      <c r="R20" s="4"/>
      <c r="S20" s="4"/>
      <c r="T20" s="4"/>
      <c r="U20" s="4"/>
      <c r="V20" s="4">
        <f t="shared" si="3"/>
        <v>140</v>
      </c>
    </row>
    <row r="21" spans="1:23" x14ac:dyDescent="0.3">
      <c r="A21">
        <v>17</v>
      </c>
      <c r="B21" s="2">
        <f t="shared" si="2"/>
        <v>45901</v>
      </c>
      <c r="D21" s="4" t="s">
        <v>321</v>
      </c>
      <c r="E21" s="4" t="s">
        <v>266</v>
      </c>
      <c r="F21" s="4" t="s">
        <v>267</v>
      </c>
      <c r="G21" s="4" t="s">
        <v>29</v>
      </c>
      <c r="H21" s="4">
        <v>0</v>
      </c>
      <c r="I21" s="4" t="s">
        <v>268</v>
      </c>
      <c r="J21" s="4" t="s">
        <v>53</v>
      </c>
      <c r="K21" s="4">
        <v>50</v>
      </c>
      <c r="L21" s="4">
        <v>50</v>
      </c>
      <c r="M21" s="4"/>
      <c r="N21" s="4"/>
      <c r="O21" s="4"/>
      <c r="P21" s="4"/>
      <c r="Q21" s="4"/>
      <c r="R21" s="4"/>
      <c r="S21" s="4"/>
      <c r="T21" s="4"/>
      <c r="U21" s="4"/>
      <c r="V21" s="4">
        <f t="shared" si="3"/>
        <v>100</v>
      </c>
    </row>
    <row r="22" spans="1:23" x14ac:dyDescent="0.3">
      <c r="A22">
        <v>18</v>
      </c>
      <c r="B22" s="2">
        <f t="shared" si="2"/>
        <v>45901</v>
      </c>
      <c r="D22" s="4" t="s">
        <v>322</v>
      </c>
      <c r="E22" s="4" t="s">
        <v>108</v>
      </c>
      <c r="F22" s="4" t="s">
        <v>109</v>
      </c>
      <c r="G22" s="4" t="s">
        <v>29</v>
      </c>
      <c r="H22" s="4">
        <v>0</v>
      </c>
      <c r="I22" s="4" t="s">
        <v>110</v>
      </c>
      <c r="J22" s="4" t="s">
        <v>54</v>
      </c>
      <c r="K22" s="4">
        <v>20</v>
      </c>
      <c r="L22" s="4">
        <v>15</v>
      </c>
      <c r="M22" s="4">
        <v>10</v>
      </c>
      <c r="N22" s="4"/>
      <c r="O22" s="4"/>
      <c r="P22" s="4">
        <v>10</v>
      </c>
      <c r="Q22" s="4"/>
      <c r="R22" s="4"/>
      <c r="S22" s="4"/>
      <c r="T22" s="4"/>
      <c r="U22" s="4"/>
      <c r="V22" s="4">
        <f t="shared" si="3"/>
        <v>55</v>
      </c>
    </row>
    <row r="23" spans="1:23" x14ac:dyDescent="0.3">
      <c r="A23">
        <v>19</v>
      </c>
      <c r="B23" s="2">
        <f t="shared" si="2"/>
        <v>45901</v>
      </c>
      <c r="D23" s="4" t="s">
        <v>323</v>
      </c>
      <c r="E23" s="4" t="s">
        <v>279</v>
      </c>
      <c r="F23" s="4" t="s">
        <v>280</v>
      </c>
      <c r="G23" s="4" t="s">
        <v>29</v>
      </c>
      <c r="H23" s="4" t="s">
        <v>34</v>
      </c>
      <c r="I23" s="4" t="s">
        <v>281</v>
      </c>
      <c r="J23" s="4" t="s">
        <v>54</v>
      </c>
      <c r="K23" s="4">
        <v>15</v>
      </c>
      <c r="L23" s="4">
        <v>15</v>
      </c>
      <c r="M23" s="4">
        <v>15</v>
      </c>
      <c r="N23" s="4"/>
      <c r="O23" s="4"/>
      <c r="P23" s="4">
        <v>15</v>
      </c>
      <c r="Q23" s="4"/>
      <c r="R23" s="4"/>
      <c r="S23" s="4"/>
      <c r="T23" s="4"/>
      <c r="U23" s="4"/>
      <c r="V23" s="4">
        <f t="shared" si="3"/>
        <v>60</v>
      </c>
    </row>
    <row r="24" spans="1:23" x14ac:dyDescent="0.3">
      <c r="A24">
        <v>20</v>
      </c>
      <c r="B24" s="2">
        <f t="shared" si="2"/>
        <v>45901</v>
      </c>
      <c r="D24" s="4" t="s">
        <v>324</v>
      </c>
      <c r="E24" s="4" t="s">
        <v>105</v>
      </c>
      <c r="F24" s="4" t="s">
        <v>106</v>
      </c>
      <c r="G24" s="4" t="s">
        <v>29</v>
      </c>
      <c r="H24" s="4">
        <v>0</v>
      </c>
      <c r="I24" s="4" t="s">
        <v>107</v>
      </c>
      <c r="J24" s="4" t="s">
        <v>37</v>
      </c>
      <c r="K24" s="4"/>
      <c r="L24" s="4"/>
      <c r="M24" s="4">
        <v>50</v>
      </c>
      <c r="N24" s="4"/>
      <c r="O24" s="4"/>
      <c r="P24" s="4"/>
      <c r="Q24" s="4"/>
      <c r="R24" s="4"/>
      <c r="S24" s="4"/>
      <c r="T24" s="4"/>
      <c r="U24" s="4"/>
      <c r="V24" s="4">
        <f t="shared" si="3"/>
        <v>50</v>
      </c>
    </row>
    <row r="25" spans="1:23" x14ac:dyDescent="0.3">
      <c r="A25">
        <v>21</v>
      </c>
      <c r="B25" s="2">
        <f t="shared" si="2"/>
        <v>45901</v>
      </c>
      <c r="D25" s="4" t="s">
        <v>325</v>
      </c>
      <c r="E25" s="4" t="s">
        <v>189</v>
      </c>
      <c r="F25" s="4" t="s">
        <v>190</v>
      </c>
      <c r="G25" s="4" t="s">
        <v>29</v>
      </c>
      <c r="H25" s="4" t="s">
        <v>34</v>
      </c>
      <c r="I25" s="4" t="s">
        <v>191</v>
      </c>
      <c r="J25" s="4" t="s">
        <v>40</v>
      </c>
      <c r="K25" s="4"/>
      <c r="L25" s="4">
        <v>50</v>
      </c>
      <c r="M25" s="4"/>
      <c r="N25" s="4"/>
      <c r="O25" s="4"/>
      <c r="P25" s="4"/>
      <c r="Q25" s="4"/>
      <c r="R25" s="4"/>
      <c r="S25" s="4"/>
      <c r="T25" s="4"/>
      <c r="U25" s="4"/>
      <c r="V25" s="4">
        <f t="shared" si="3"/>
        <v>50</v>
      </c>
    </row>
    <row r="26" spans="1:23" x14ac:dyDescent="0.3">
      <c r="A26">
        <v>22</v>
      </c>
      <c r="B26" s="2">
        <f t="shared" si="2"/>
        <v>45901</v>
      </c>
      <c r="D26" s="4" t="s">
        <v>326</v>
      </c>
      <c r="E26" s="4" t="s">
        <v>98</v>
      </c>
      <c r="F26" s="4" t="s">
        <v>99</v>
      </c>
      <c r="G26" s="4" t="s">
        <v>29</v>
      </c>
      <c r="H26" s="4">
        <v>0</v>
      </c>
      <c r="I26" s="4" t="s">
        <v>100</v>
      </c>
      <c r="J26" s="4" t="s">
        <v>60</v>
      </c>
      <c r="K26" s="4"/>
      <c r="L26" s="4">
        <v>25</v>
      </c>
      <c r="M26" s="4">
        <v>25</v>
      </c>
      <c r="N26" s="4"/>
      <c r="O26" s="4"/>
      <c r="P26" s="4"/>
      <c r="Q26" s="4"/>
      <c r="R26" s="4"/>
      <c r="S26" s="4"/>
      <c r="T26" s="4"/>
      <c r="U26" s="4"/>
      <c r="V26" s="4">
        <f t="shared" si="3"/>
        <v>50</v>
      </c>
    </row>
    <row r="27" spans="1:23" x14ac:dyDescent="0.3">
      <c r="A27">
        <v>23</v>
      </c>
      <c r="B27" s="2">
        <f t="shared" si="2"/>
        <v>45901</v>
      </c>
      <c r="D27" s="4" t="s">
        <v>327</v>
      </c>
      <c r="E27" s="4" t="s">
        <v>6</v>
      </c>
      <c r="F27" s="4" t="s">
        <v>17</v>
      </c>
      <c r="G27" s="4" t="s">
        <v>30</v>
      </c>
      <c r="H27" s="4">
        <v>0</v>
      </c>
      <c r="I27" s="4" t="s">
        <v>39</v>
      </c>
      <c r="J27" s="4" t="s">
        <v>40</v>
      </c>
      <c r="K27" s="4">
        <v>5</v>
      </c>
      <c r="L27" s="4">
        <v>5</v>
      </c>
      <c r="M27" s="4"/>
      <c r="N27" s="4">
        <v>70</v>
      </c>
      <c r="O27" s="4">
        <v>50</v>
      </c>
      <c r="P27" s="4">
        <v>20</v>
      </c>
      <c r="Q27" s="4"/>
      <c r="R27" s="4"/>
      <c r="S27" s="4"/>
      <c r="T27" s="4"/>
      <c r="U27" s="4"/>
      <c r="V27" s="4">
        <f t="shared" si="3"/>
        <v>150</v>
      </c>
    </row>
    <row r="28" spans="1:23" x14ac:dyDescent="0.3">
      <c r="A28">
        <v>24</v>
      </c>
      <c r="B28" s="2">
        <f t="shared" si="2"/>
        <v>45901</v>
      </c>
      <c r="D28" s="4" t="s">
        <v>328</v>
      </c>
      <c r="E28" s="4" t="s">
        <v>179</v>
      </c>
      <c r="F28" s="4" t="s">
        <v>180</v>
      </c>
      <c r="G28" s="4" t="s">
        <v>30</v>
      </c>
      <c r="H28" s="4">
        <v>0</v>
      </c>
      <c r="I28" s="4" t="s">
        <v>40</v>
      </c>
      <c r="J28" s="4" t="s">
        <v>40</v>
      </c>
      <c r="K28" s="4"/>
      <c r="L28" s="4"/>
      <c r="M28" s="4"/>
      <c r="N28" s="4">
        <v>103</v>
      </c>
      <c r="O28" s="4">
        <v>71</v>
      </c>
      <c r="P28" s="4">
        <v>20</v>
      </c>
      <c r="Q28" s="4"/>
      <c r="R28" s="4"/>
      <c r="S28" s="4"/>
      <c r="T28" s="4"/>
      <c r="U28" s="4"/>
      <c r="V28" s="4">
        <f t="shared" si="3"/>
        <v>194</v>
      </c>
    </row>
    <row r="29" spans="1:23" x14ac:dyDescent="0.3">
      <c r="A29">
        <v>25</v>
      </c>
      <c r="B29" s="2">
        <f t="shared" si="2"/>
        <v>45901</v>
      </c>
      <c r="D29" s="4" t="s">
        <v>329</v>
      </c>
      <c r="E29" s="4" t="s">
        <v>179</v>
      </c>
      <c r="F29" s="4" t="s">
        <v>180</v>
      </c>
      <c r="G29" s="4" t="s">
        <v>30</v>
      </c>
      <c r="H29" s="4">
        <v>0</v>
      </c>
      <c r="I29" s="4" t="s">
        <v>40</v>
      </c>
      <c r="J29" s="4" t="s">
        <v>40</v>
      </c>
      <c r="K29" s="4"/>
      <c r="L29" s="4"/>
      <c r="M29" s="4">
        <v>30</v>
      </c>
      <c r="N29" s="4"/>
      <c r="O29" s="4"/>
      <c r="P29" s="4"/>
      <c r="Q29" s="4"/>
      <c r="R29" s="4"/>
      <c r="S29" s="4"/>
      <c r="T29" s="4"/>
      <c r="U29" s="4"/>
      <c r="V29" s="4">
        <f t="shared" si="3"/>
        <v>30</v>
      </c>
    </row>
    <row r="30" spans="1:23" x14ac:dyDescent="0.3">
      <c r="A30">
        <v>26</v>
      </c>
      <c r="B30" s="2">
        <f t="shared" si="2"/>
        <v>45901</v>
      </c>
      <c r="D30" s="4" t="s">
        <v>330</v>
      </c>
      <c r="E30" s="4" t="s">
        <v>195</v>
      </c>
      <c r="F30" s="4" t="s">
        <v>196</v>
      </c>
      <c r="G30" s="4" t="s">
        <v>30</v>
      </c>
      <c r="H30" s="4">
        <v>0</v>
      </c>
      <c r="I30" s="4" t="s">
        <v>197</v>
      </c>
      <c r="J30" s="4" t="s">
        <v>55</v>
      </c>
      <c r="K30" s="4">
        <v>8</v>
      </c>
      <c r="L30" s="4">
        <v>9</v>
      </c>
      <c r="M30" s="4"/>
      <c r="N30" s="4">
        <v>71</v>
      </c>
      <c r="O30" s="4">
        <v>32</v>
      </c>
      <c r="P30" s="4">
        <v>11</v>
      </c>
      <c r="Q30" s="4"/>
      <c r="R30" s="4"/>
      <c r="S30" s="4"/>
      <c r="T30" s="4"/>
      <c r="U30" s="4"/>
      <c r="V30" s="4">
        <f t="shared" si="3"/>
        <v>131</v>
      </c>
      <c r="W30" s="23"/>
    </row>
    <row r="31" spans="1:23" x14ac:dyDescent="0.3">
      <c r="A31">
        <v>27</v>
      </c>
      <c r="B31" s="2">
        <f t="shared" si="2"/>
        <v>45901</v>
      </c>
      <c r="D31" s="4" t="s">
        <v>331</v>
      </c>
      <c r="E31" s="4" t="s">
        <v>206</v>
      </c>
      <c r="F31" s="4" t="s">
        <v>198</v>
      </c>
      <c r="G31" s="4" t="s">
        <v>30</v>
      </c>
      <c r="H31" s="4">
        <v>0</v>
      </c>
      <c r="I31" s="4" t="s">
        <v>123</v>
      </c>
      <c r="J31" s="4" t="s">
        <v>55</v>
      </c>
      <c r="K31" s="4">
        <v>10</v>
      </c>
      <c r="L31" s="4">
        <v>10</v>
      </c>
      <c r="M31" s="4"/>
      <c r="N31" s="4">
        <v>100</v>
      </c>
      <c r="O31" s="4">
        <v>51</v>
      </c>
      <c r="P31" s="4">
        <v>20</v>
      </c>
      <c r="Q31" s="4"/>
      <c r="R31" s="4"/>
      <c r="S31" s="4"/>
      <c r="T31" s="4"/>
      <c r="U31" s="4"/>
      <c r="V31" s="4">
        <f t="shared" si="3"/>
        <v>191</v>
      </c>
    </row>
    <row r="32" spans="1:23" x14ac:dyDescent="0.3">
      <c r="A32">
        <v>28</v>
      </c>
      <c r="B32" s="2">
        <f t="shared" si="2"/>
        <v>45901</v>
      </c>
      <c r="D32" s="4" t="s">
        <v>332</v>
      </c>
      <c r="E32" s="4" t="s">
        <v>299</v>
      </c>
      <c r="F32" s="4" t="s">
        <v>24</v>
      </c>
      <c r="G32" s="4" t="s">
        <v>30</v>
      </c>
      <c r="H32" s="4">
        <v>0</v>
      </c>
      <c r="I32" s="4" t="s">
        <v>47</v>
      </c>
      <c r="J32" s="4" t="s">
        <v>50</v>
      </c>
      <c r="K32" s="4">
        <v>5</v>
      </c>
      <c r="L32" s="4">
        <v>5</v>
      </c>
      <c r="M32" s="4"/>
      <c r="N32" s="4">
        <v>40</v>
      </c>
      <c r="O32" s="4">
        <v>41</v>
      </c>
      <c r="P32" s="4">
        <v>20</v>
      </c>
      <c r="Q32" s="4"/>
      <c r="R32" s="4"/>
      <c r="S32" s="4"/>
      <c r="T32" s="4"/>
      <c r="U32" s="4"/>
      <c r="V32" s="4">
        <f t="shared" si="3"/>
        <v>111</v>
      </c>
    </row>
    <row r="33" spans="1:22" x14ac:dyDescent="0.3">
      <c r="A33">
        <v>29</v>
      </c>
      <c r="B33" s="2">
        <f t="shared" si="2"/>
        <v>45901</v>
      </c>
      <c r="D33" s="4" t="s">
        <v>333</v>
      </c>
      <c r="E33" s="4" t="s">
        <v>203</v>
      </c>
      <c r="F33" s="4" t="s">
        <v>204</v>
      </c>
      <c r="G33" s="4" t="s">
        <v>30</v>
      </c>
      <c r="H33" s="4">
        <v>0</v>
      </c>
      <c r="I33" s="4" t="s">
        <v>205</v>
      </c>
      <c r="J33" s="4" t="s">
        <v>50</v>
      </c>
      <c r="K33" s="4">
        <v>5</v>
      </c>
      <c r="L33" s="4">
        <v>5</v>
      </c>
      <c r="M33" s="4"/>
      <c r="N33" s="4">
        <v>100</v>
      </c>
      <c r="O33" s="4">
        <v>92</v>
      </c>
      <c r="P33" s="4">
        <v>20</v>
      </c>
      <c r="Q33" s="4"/>
      <c r="R33" s="4"/>
      <c r="S33" s="4"/>
      <c r="T33" s="4"/>
      <c r="U33" s="4"/>
      <c r="V33" s="4">
        <f t="shared" si="3"/>
        <v>222</v>
      </c>
    </row>
    <row r="34" spans="1:22" x14ac:dyDescent="0.3">
      <c r="A34">
        <v>30</v>
      </c>
      <c r="B34" s="2">
        <f t="shared" si="2"/>
        <v>45901</v>
      </c>
      <c r="D34" s="4" t="s">
        <v>334</v>
      </c>
      <c r="E34" s="4" t="s">
        <v>13</v>
      </c>
      <c r="F34" s="4" t="s">
        <v>25</v>
      </c>
      <c r="G34" s="4" t="s">
        <v>30</v>
      </c>
      <c r="H34" s="4">
        <v>0</v>
      </c>
      <c r="I34" s="4" t="s">
        <v>48</v>
      </c>
      <c r="J34" s="4" t="s">
        <v>50</v>
      </c>
      <c r="K34" s="4">
        <v>12</v>
      </c>
      <c r="L34" s="4">
        <v>16</v>
      </c>
      <c r="M34" s="4"/>
      <c r="N34" s="4">
        <v>64</v>
      </c>
      <c r="O34" s="4">
        <v>50</v>
      </c>
      <c r="P34" s="4">
        <v>11</v>
      </c>
      <c r="Q34" s="4"/>
      <c r="R34" s="4"/>
      <c r="S34" s="4"/>
      <c r="T34" s="4"/>
      <c r="U34" s="4"/>
      <c r="V34" s="4">
        <f t="shared" si="3"/>
        <v>153</v>
      </c>
    </row>
    <row r="35" spans="1:22" x14ac:dyDescent="0.3">
      <c r="A35">
        <v>31</v>
      </c>
      <c r="B35" s="2">
        <f t="shared" si="2"/>
        <v>45901</v>
      </c>
      <c r="D35" s="4" t="s">
        <v>335</v>
      </c>
      <c r="E35" s="4" t="s">
        <v>143</v>
      </c>
      <c r="F35" s="4" t="s">
        <v>144</v>
      </c>
      <c r="G35" s="4" t="s">
        <v>30</v>
      </c>
      <c r="H35" s="4">
        <v>0</v>
      </c>
      <c r="I35" s="4" t="s">
        <v>67</v>
      </c>
      <c r="J35" s="4" t="s">
        <v>50</v>
      </c>
      <c r="K35" s="4">
        <v>10</v>
      </c>
      <c r="L35" s="4">
        <v>11</v>
      </c>
      <c r="M35" s="4"/>
      <c r="N35" s="4">
        <v>112</v>
      </c>
      <c r="O35" s="4">
        <v>80</v>
      </c>
      <c r="P35" s="4">
        <v>19</v>
      </c>
      <c r="Q35" s="4"/>
      <c r="R35" s="4"/>
      <c r="S35" s="4"/>
      <c r="T35" s="4"/>
      <c r="U35" s="4"/>
      <c r="V35" s="4">
        <f t="shared" si="3"/>
        <v>232</v>
      </c>
    </row>
    <row r="36" spans="1:22" x14ac:dyDescent="0.3">
      <c r="A36">
        <v>32</v>
      </c>
      <c r="B36" s="2">
        <f t="shared" si="2"/>
        <v>45901</v>
      </c>
      <c r="D36" s="4" t="s">
        <v>336</v>
      </c>
      <c r="E36" s="4" t="s">
        <v>239</v>
      </c>
      <c r="F36" s="4" t="s">
        <v>240</v>
      </c>
      <c r="G36" s="4" t="s">
        <v>30</v>
      </c>
      <c r="H36" s="4">
        <v>0</v>
      </c>
      <c r="I36" s="4" t="s">
        <v>241</v>
      </c>
      <c r="J36" s="4" t="s">
        <v>50</v>
      </c>
      <c r="K36" s="4">
        <v>8</v>
      </c>
      <c r="L36" s="4">
        <v>9</v>
      </c>
      <c r="M36" s="4"/>
      <c r="N36" s="4">
        <v>135</v>
      </c>
      <c r="O36" s="4">
        <v>40</v>
      </c>
      <c r="P36" s="4">
        <v>25</v>
      </c>
      <c r="Q36" s="4"/>
      <c r="R36" s="4"/>
      <c r="S36" s="4"/>
      <c r="T36" s="4"/>
      <c r="U36" s="4"/>
      <c r="V36" s="4">
        <f t="shared" si="3"/>
        <v>217</v>
      </c>
    </row>
    <row r="37" spans="1:22" x14ac:dyDescent="0.3">
      <c r="A37">
        <v>33</v>
      </c>
      <c r="B37" s="2">
        <f t="shared" si="2"/>
        <v>45901</v>
      </c>
      <c r="D37" s="4" t="s">
        <v>337</v>
      </c>
      <c r="E37" s="4" t="s">
        <v>5</v>
      </c>
      <c r="F37" s="4" t="s">
        <v>16</v>
      </c>
      <c r="G37" s="4" t="s">
        <v>30</v>
      </c>
      <c r="H37" s="4">
        <v>0</v>
      </c>
      <c r="I37" s="4" t="s">
        <v>38</v>
      </c>
      <c r="J37" s="4" t="s">
        <v>50</v>
      </c>
      <c r="K37" s="4">
        <v>10</v>
      </c>
      <c r="L37" s="4">
        <v>10</v>
      </c>
      <c r="M37" s="4"/>
      <c r="N37" s="4">
        <v>60</v>
      </c>
      <c r="O37" s="4">
        <v>41</v>
      </c>
      <c r="P37" s="4">
        <v>20</v>
      </c>
      <c r="Q37" s="4"/>
      <c r="R37" s="4"/>
      <c r="S37" s="4"/>
      <c r="T37" s="4"/>
      <c r="U37" s="4"/>
      <c r="V37" s="4">
        <f t="shared" si="3"/>
        <v>141</v>
      </c>
    </row>
    <row r="38" spans="1:22" x14ac:dyDescent="0.3">
      <c r="A38">
        <v>34</v>
      </c>
      <c r="B38" s="2">
        <f t="shared" si="2"/>
        <v>45901</v>
      </c>
      <c r="D38" s="4" t="s">
        <v>338</v>
      </c>
      <c r="E38" s="4" t="s">
        <v>192</v>
      </c>
      <c r="F38" s="4" t="s">
        <v>193</v>
      </c>
      <c r="G38" s="4" t="s">
        <v>30</v>
      </c>
      <c r="H38" s="4">
        <v>0</v>
      </c>
      <c r="I38" s="4" t="s">
        <v>194</v>
      </c>
      <c r="J38" s="4" t="s">
        <v>50</v>
      </c>
      <c r="K38" s="4">
        <v>10</v>
      </c>
      <c r="L38" s="4">
        <v>10</v>
      </c>
      <c r="M38" s="4"/>
      <c r="N38" s="4">
        <v>60</v>
      </c>
      <c r="O38" s="4">
        <v>48</v>
      </c>
      <c r="P38" s="4">
        <v>20</v>
      </c>
      <c r="Q38" s="4"/>
      <c r="R38" s="4"/>
      <c r="S38" s="4"/>
      <c r="T38" s="4"/>
      <c r="U38" s="4"/>
      <c r="V38" s="4">
        <f t="shared" si="3"/>
        <v>148</v>
      </c>
    </row>
    <row r="39" spans="1:22" x14ac:dyDescent="0.3">
      <c r="A39">
        <v>35</v>
      </c>
      <c r="B39" s="2">
        <f t="shared" si="2"/>
        <v>45901</v>
      </c>
      <c r="D39" s="4" t="s">
        <v>339</v>
      </c>
      <c r="E39" s="4" t="s">
        <v>137</v>
      </c>
      <c r="F39" s="4" t="s">
        <v>138</v>
      </c>
      <c r="G39" s="4" t="s">
        <v>30</v>
      </c>
      <c r="H39" s="4">
        <v>0</v>
      </c>
      <c r="I39" s="4" t="s">
        <v>139</v>
      </c>
      <c r="J39" s="4" t="s">
        <v>50</v>
      </c>
      <c r="K39" s="4">
        <v>5</v>
      </c>
      <c r="L39" s="4">
        <v>10</v>
      </c>
      <c r="M39" s="4"/>
      <c r="N39" s="4">
        <v>80</v>
      </c>
      <c r="O39" s="4">
        <v>40</v>
      </c>
      <c r="P39" s="4">
        <v>20</v>
      </c>
      <c r="Q39" s="4"/>
      <c r="R39" s="4"/>
      <c r="S39" s="4"/>
      <c r="T39" s="4"/>
      <c r="U39" s="4"/>
      <c r="V39" s="4">
        <f t="shared" si="3"/>
        <v>155</v>
      </c>
    </row>
    <row r="40" spans="1:22" x14ac:dyDescent="0.3">
      <c r="A40">
        <v>36</v>
      </c>
      <c r="B40" s="2">
        <f t="shared" si="2"/>
        <v>45901</v>
      </c>
      <c r="D40" s="4" t="s">
        <v>340</v>
      </c>
      <c r="E40" s="4" t="s">
        <v>7</v>
      </c>
      <c r="F40" s="4" t="s">
        <v>18</v>
      </c>
      <c r="G40" s="4" t="s">
        <v>30</v>
      </c>
      <c r="H40" s="4">
        <v>0</v>
      </c>
      <c r="I40" s="4" t="s">
        <v>41</v>
      </c>
      <c r="J40" s="4" t="s">
        <v>56</v>
      </c>
      <c r="K40" s="4">
        <v>6</v>
      </c>
      <c r="L40" s="4">
        <v>16</v>
      </c>
      <c r="M40" s="4"/>
      <c r="N40" s="4">
        <v>29</v>
      </c>
      <c r="O40" s="4">
        <v>30</v>
      </c>
      <c r="P40" s="4">
        <v>7</v>
      </c>
      <c r="Q40" s="4"/>
      <c r="R40" s="4"/>
      <c r="S40" s="4"/>
      <c r="T40" s="4"/>
      <c r="U40" s="4"/>
      <c r="V40" s="4">
        <f t="shared" si="3"/>
        <v>88</v>
      </c>
    </row>
    <row r="41" spans="1:22" x14ac:dyDescent="0.3">
      <c r="A41">
        <v>37</v>
      </c>
      <c r="B41" s="2">
        <f t="shared" si="2"/>
        <v>45901</v>
      </c>
      <c r="D41" s="4" t="s">
        <v>341</v>
      </c>
      <c r="E41" s="4" t="s">
        <v>10</v>
      </c>
      <c r="F41" s="4" t="s">
        <v>21</v>
      </c>
      <c r="G41" s="4" t="s">
        <v>30</v>
      </c>
      <c r="H41" s="4">
        <v>0</v>
      </c>
      <c r="I41" s="4" t="s">
        <v>44</v>
      </c>
      <c r="J41" s="4" t="s">
        <v>58</v>
      </c>
      <c r="K41" s="4">
        <v>17</v>
      </c>
      <c r="L41" s="4">
        <v>30</v>
      </c>
      <c r="M41" s="4"/>
      <c r="N41" s="4">
        <v>63</v>
      </c>
      <c r="O41" s="4">
        <v>20</v>
      </c>
      <c r="P41" s="4">
        <v>21</v>
      </c>
      <c r="Q41" s="4"/>
      <c r="R41" s="4"/>
      <c r="S41" s="4"/>
      <c r="T41" s="4"/>
      <c r="U41" s="4"/>
      <c r="V41" s="4">
        <f t="shared" si="3"/>
        <v>151</v>
      </c>
    </row>
    <row r="42" spans="1:22" x14ac:dyDescent="0.3">
      <c r="A42">
        <v>38</v>
      </c>
      <c r="B42" s="2">
        <f t="shared" si="2"/>
        <v>45901</v>
      </c>
      <c r="D42" s="4" t="s">
        <v>342</v>
      </c>
      <c r="E42" s="4" t="s">
        <v>9</v>
      </c>
      <c r="F42" s="4" t="s">
        <v>20</v>
      </c>
      <c r="G42" s="4" t="s">
        <v>30</v>
      </c>
      <c r="H42" s="4">
        <v>0</v>
      </c>
      <c r="I42" s="4" t="s">
        <v>43</v>
      </c>
      <c r="J42" s="4" t="s">
        <v>57</v>
      </c>
      <c r="K42" s="4">
        <v>10</v>
      </c>
      <c r="L42" s="4">
        <v>19</v>
      </c>
      <c r="M42" s="4"/>
      <c r="N42" s="4">
        <v>35</v>
      </c>
      <c r="O42" s="4">
        <v>70</v>
      </c>
      <c r="P42" s="4">
        <v>7</v>
      </c>
      <c r="Q42" s="4"/>
      <c r="R42" s="4"/>
      <c r="S42" s="4"/>
      <c r="T42" s="4"/>
      <c r="U42" s="4"/>
      <c r="V42" s="4">
        <f t="shared" si="3"/>
        <v>141</v>
      </c>
    </row>
    <row r="43" spans="1:22" x14ac:dyDescent="0.3">
      <c r="A43">
        <v>39</v>
      </c>
      <c r="B43" s="2">
        <f t="shared" si="2"/>
        <v>45901</v>
      </c>
      <c r="D43" s="4" t="s">
        <v>343</v>
      </c>
      <c r="E43" s="4" t="s">
        <v>8</v>
      </c>
      <c r="F43" s="4" t="s">
        <v>19</v>
      </c>
      <c r="G43" s="4" t="s">
        <v>30</v>
      </c>
      <c r="H43" s="4">
        <v>0</v>
      </c>
      <c r="I43" s="4" t="s">
        <v>42</v>
      </c>
      <c r="J43" s="4" t="s">
        <v>57</v>
      </c>
      <c r="K43" s="4">
        <v>8</v>
      </c>
      <c r="L43" s="4">
        <v>14</v>
      </c>
      <c r="M43" s="4"/>
      <c r="N43" s="4">
        <v>35</v>
      </c>
      <c r="O43" s="4">
        <v>51</v>
      </c>
      <c r="P43" s="4">
        <v>12</v>
      </c>
      <c r="Q43" s="4"/>
      <c r="R43" s="4"/>
      <c r="S43" s="4"/>
      <c r="T43" s="4"/>
      <c r="U43" s="4"/>
      <c r="V43" s="4">
        <f t="shared" si="3"/>
        <v>120</v>
      </c>
    </row>
    <row r="44" spans="1:22" x14ac:dyDescent="0.3">
      <c r="A44">
        <v>40</v>
      </c>
      <c r="B44" s="2">
        <f t="shared" si="2"/>
        <v>45901</v>
      </c>
      <c r="D44" s="4" t="s">
        <v>344</v>
      </c>
      <c r="E44" s="4" t="s">
        <v>11</v>
      </c>
      <c r="F44" s="4" t="s">
        <v>22</v>
      </c>
      <c r="G44" s="4" t="s">
        <v>30</v>
      </c>
      <c r="H44" s="4">
        <v>0</v>
      </c>
      <c r="I44" s="4" t="s">
        <v>45</v>
      </c>
      <c r="J44" s="4" t="s">
        <v>59</v>
      </c>
      <c r="K44" s="4">
        <v>7</v>
      </c>
      <c r="L44" s="4">
        <v>10</v>
      </c>
      <c r="M44" s="4"/>
      <c r="N44" s="4">
        <v>37</v>
      </c>
      <c r="O44" s="4">
        <v>31</v>
      </c>
      <c r="P44" s="4">
        <v>8</v>
      </c>
      <c r="Q44" s="4"/>
      <c r="R44" s="4"/>
      <c r="S44" s="4"/>
      <c r="T44" s="4"/>
      <c r="U44" s="4"/>
      <c r="V44" s="4">
        <f t="shared" si="3"/>
        <v>93</v>
      </c>
    </row>
    <row r="45" spans="1:22" x14ac:dyDescent="0.3">
      <c r="A45">
        <v>41</v>
      </c>
      <c r="B45" s="2">
        <f t="shared" si="2"/>
        <v>45901</v>
      </c>
      <c r="D45" s="4" t="s">
        <v>345</v>
      </c>
      <c r="E45" s="4" t="s">
        <v>12</v>
      </c>
      <c r="F45" s="4" t="s">
        <v>23</v>
      </c>
      <c r="G45" s="4" t="s">
        <v>30</v>
      </c>
      <c r="H45" s="4">
        <v>0</v>
      </c>
      <c r="I45" s="4" t="s">
        <v>46</v>
      </c>
      <c r="J45" s="4" t="s">
        <v>52</v>
      </c>
      <c r="K45" s="4">
        <v>7</v>
      </c>
      <c r="L45" s="4">
        <v>16</v>
      </c>
      <c r="M45" s="4"/>
      <c r="N45" s="4">
        <v>39</v>
      </c>
      <c r="O45" s="4">
        <v>45</v>
      </c>
      <c r="P45" s="4">
        <v>11</v>
      </c>
      <c r="Q45" s="4"/>
      <c r="R45" s="4"/>
      <c r="S45" s="4"/>
      <c r="T45" s="4"/>
      <c r="U45" s="4"/>
      <c r="V45" s="4">
        <f t="shared" si="3"/>
        <v>118</v>
      </c>
    </row>
    <row r="46" spans="1:22" x14ac:dyDescent="0.3">
      <c r="A46">
        <v>42</v>
      </c>
      <c r="B46" s="2">
        <f t="shared" si="2"/>
        <v>45901</v>
      </c>
      <c r="D46" s="4" t="s">
        <v>346</v>
      </c>
      <c r="E46" s="4" t="s">
        <v>145</v>
      </c>
      <c r="F46" s="4" t="s">
        <v>146</v>
      </c>
      <c r="G46" s="4" t="s">
        <v>31</v>
      </c>
      <c r="H46" s="4" t="s">
        <v>34</v>
      </c>
      <c r="I46" s="4" t="s">
        <v>147</v>
      </c>
      <c r="J46" s="4" t="s">
        <v>148</v>
      </c>
      <c r="K46" s="4"/>
      <c r="L46" s="4"/>
      <c r="M46" s="4">
        <v>25</v>
      </c>
      <c r="N46" s="4"/>
      <c r="O46" s="4"/>
      <c r="P46" s="4"/>
      <c r="Q46" s="4"/>
      <c r="R46" s="4"/>
      <c r="S46" s="4"/>
      <c r="T46" s="4"/>
      <c r="U46" s="4"/>
      <c r="V46" s="4">
        <f t="shared" si="3"/>
        <v>25</v>
      </c>
    </row>
    <row r="47" spans="1:22" x14ac:dyDescent="0.3">
      <c r="A47">
        <v>43</v>
      </c>
      <c r="B47" s="2">
        <f t="shared" si="2"/>
        <v>45901</v>
      </c>
      <c r="D47" s="4" t="s">
        <v>347</v>
      </c>
      <c r="E47" s="4" t="s">
        <v>218</v>
      </c>
      <c r="F47" s="4" t="s">
        <v>219</v>
      </c>
      <c r="G47" s="4" t="s">
        <v>31</v>
      </c>
      <c r="H47" s="4" t="s">
        <v>34</v>
      </c>
      <c r="I47" s="4" t="s">
        <v>220</v>
      </c>
      <c r="J47" s="4" t="s">
        <v>221</v>
      </c>
      <c r="K47" s="4">
        <v>50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>
        <f t="shared" si="3"/>
        <v>50</v>
      </c>
    </row>
    <row r="48" spans="1:22" x14ac:dyDescent="0.3">
      <c r="A48">
        <v>44</v>
      </c>
      <c r="B48" s="2">
        <f t="shared" si="2"/>
        <v>45901</v>
      </c>
      <c r="D48" s="4" t="s">
        <v>348</v>
      </c>
      <c r="E48" s="4" t="s">
        <v>184</v>
      </c>
      <c r="F48" s="4" t="s">
        <v>185</v>
      </c>
      <c r="G48" s="4" t="s">
        <v>31</v>
      </c>
      <c r="H48" s="4" t="s">
        <v>34</v>
      </c>
      <c r="I48" s="4" t="s">
        <v>77</v>
      </c>
      <c r="J48" s="4" t="s">
        <v>77</v>
      </c>
      <c r="K48" s="4"/>
      <c r="L48" s="4">
        <v>50</v>
      </c>
      <c r="M48" s="4"/>
      <c r="N48" s="4"/>
      <c r="O48" s="4"/>
      <c r="P48" s="4"/>
      <c r="Q48" s="4"/>
      <c r="R48" s="4"/>
      <c r="S48" s="4"/>
      <c r="T48" s="4"/>
      <c r="U48" s="4"/>
      <c r="V48" s="4">
        <f t="shared" si="3"/>
        <v>50</v>
      </c>
    </row>
    <row r="49" spans="1:23" x14ac:dyDescent="0.3">
      <c r="A49">
        <v>45</v>
      </c>
      <c r="B49" s="2">
        <f t="shared" si="2"/>
        <v>45901</v>
      </c>
      <c r="D49" s="4" t="s">
        <v>349</v>
      </c>
      <c r="E49" s="4" t="s">
        <v>222</v>
      </c>
      <c r="F49" s="4" t="s">
        <v>223</v>
      </c>
      <c r="G49" s="4" t="s">
        <v>32</v>
      </c>
      <c r="H49" s="4">
        <v>0</v>
      </c>
      <c r="I49" s="4" t="s">
        <v>64</v>
      </c>
      <c r="J49" s="4" t="s">
        <v>50</v>
      </c>
      <c r="K49" s="4">
        <v>30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>
        <f t="shared" si="3"/>
        <v>30</v>
      </c>
    </row>
    <row r="50" spans="1:23" x14ac:dyDescent="0.3">
      <c r="A50">
        <v>46</v>
      </c>
      <c r="B50" s="2">
        <f t="shared" si="2"/>
        <v>45901</v>
      </c>
      <c r="D50" s="4" t="s">
        <v>350</v>
      </c>
      <c r="E50" s="4" t="s">
        <v>351</v>
      </c>
      <c r="F50" s="4" t="s">
        <v>352</v>
      </c>
      <c r="G50" s="4" t="s">
        <v>31</v>
      </c>
      <c r="H50" s="4" t="s">
        <v>34</v>
      </c>
      <c r="I50" s="4" t="s">
        <v>55</v>
      </c>
      <c r="J50" s="4" t="s">
        <v>55</v>
      </c>
      <c r="K50" s="4">
        <v>20</v>
      </c>
      <c r="L50" s="4"/>
      <c r="M50" s="4">
        <v>15</v>
      </c>
      <c r="N50" s="4"/>
      <c r="O50" s="4"/>
      <c r="P50" s="4"/>
      <c r="Q50" s="4"/>
      <c r="R50" s="4"/>
      <c r="S50" s="4"/>
      <c r="T50" s="4"/>
      <c r="U50" s="4"/>
      <c r="V50" s="4">
        <f t="shared" si="3"/>
        <v>35</v>
      </c>
    </row>
    <row r="51" spans="1:23" x14ac:dyDescent="0.3">
      <c r="A51">
        <v>47</v>
      </c>
      <c r="B51" s="2">
        <f t="shared" si="2"/>
        <v>45901</v>
      </c>
      <c r="D51" s="4" t="s">
        <v>353</v>
      </c>
      <c r="E51" s="4" t="s">
        <v>272</v>
      </c>
      <c r="F51" s="4" t="s">
        <v>273</v>
      </c>
      <c r="G51" s="4" t="s">
        <v>32</v>
      </c>
      <c r="H51" s="4" t="s">
        <v>34</v>
      </c>
      <c r="I51" s="4" t="s">
        <v>274</v>
      </c>
      <c r="J51" s="4" t="s">
        <v>60</v>
      </c>
      <c r="K51" s="4">
        <v>20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>
        <f t="shared" si="3"/>
        <v>20</v>
      </c>
    </row>
    <row r="52" spans="1:23" x14ac:dyDescent="0.3">
      <c r="A52">
        <v>48</v>
      </c>
      <c r="B52" s="2">
        <f t="shared" si="2"/>
        <v>45901</v>
      </c>
      <c r="D52" s="4" t="s">
        <v>354</v>
      </c>
      <c r="E52" s="4" t="s">
        <v>355</v>
      </c>
      <c r="F52" s="4" t="s">
        <v>356</v>
      </c>
      <c r="G52" s="4" t="s">
        <v>31</v>
      </c>
      <c r="H52" s="4" t="s">
        <v>34</v>
      </c>
      <c r="I52" s="4" t="s">
        <v>233</v>
      </c>
      <c r="J52" s="4" t="s">
        <v>50</v>
      </c>
      <c r="K52" s="4">
        <v>20</v>
      </c>
      <c r="L52" s="4"/>
      <c r="M52" s="4">
        <v>10</v>
      </c>
      <c r="N52" s="4"/>
      <c r="O52" s="4"/>
      <c r="P52" s="4"/>
      <c r="Q52" s="4"/>
      <c r="R52" s="4"/>
      <c r="S52" s="4"/>
      <c r="T52" s="4"/>
      <c r="U52" s="4"/>
      <c r="V52" s="4">
        <f t="shared" si="3"/>
        <v>30</v>
      </c>
      <c r="W52" s="23"/>
    </row>
    <row r="53" spans="1:23" x14ac:dyDescent="0.3">
      <c r="A53">
        <v>49</v>
      </c>
      <c r="B53" s="2">
        <f t="shared" si="2"/>
        <v>45901</v>
      </c>
      <c r="D53" s="4" t="s">
        <v>357</v>
      </c>
      <c r="E53" s="4" t="s">
        <v>358</v>
      </c>
      <c r="F53" s="4" t="s">
        <v>359</v>
      </c>
      <c r="G53" s="4" t="s">
        <v>32</v>
      </c>
      <c r="H53" s="4">
        <v>0</v>
      </c>
      <c r="I53" s="4" t="s">
        <v>360</v>
      </c>
      <c r="J53" s="4" t="s">
        <v>51</v>
      </c>
      <c r="K53" s="4">
        <v>35</v>
      </c>
      <c r="L53" s="4">
        <v>5</v>
      </c>
      <c r="M53" s="4"/>
      <c r="N53" s="4"/>
      <c r="O53" s="4"/>
      <c r="P53" s="4"/>
      <c r="Q53" s="4"/>
      <c r="R53" s="4"/>
      <c r="S53" s="4"/>
      <c r="T53" s="4"/>
      <c r="U53" s="4"/>
      <c r="V53" s="4">
        <f t="shared" si="3"/>
        <v>40</v>
      </c>
      <c r="W53" s="23"/>
    </row>
    <row r="54" spans="1:23" x14ac:dyDescent="0.3">
      <c r="A54">
        <v>50</v>
      </c>
      <c r="B54" s="2">
        <f t="shared" si="2"/>
        <v>45901</v>
      </c>
      <c r="D54" s="4" t="s">
        <v>361</v>
      </c>
      <c r="E54" s="4" t="s">
        <v>237</v>
      </c>
      <c r="F54" s="4" t="s">
        <v>238</v>
      </c>
      <c r="G54" s="4" t="s">
        <v>31</v>
      </c>
      <c r="H54" s="4" t="s">
        <v>34</v>
      </c>
      <c r="I54" s="4" t="s">
        <v>128</v>
      </c>
      <c r="J54" s="4" t="s">
        <v>50</v>
      </c>
      <c r="K54" s="4">
        <v>50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>
        <f t="shared" si="3"/>
        <v>50</v>
      </c>
    </row>
    <row r="55" spans="1:23" x14ac:dyDescent="0.3">
      <c r="A55">
        <v>51</v>
      </c>
      <c r="B55" s="2">
        <f t="shared" si="2"/>
        <v>45901</v>
      </c>
      <c r="D55" s="4" t="s">
        <v>362</v>
      </c>
      <c r="E55" s="4" t="s">
        <v>94</v>
      </c>
      <c r="F55" s="4" t="s">
        <v>95</v>
      </c>
      <c r="G55" s="4" t="s">
        <v>31</v>
      </c>
      <c r="H55" s="4" t="s">
        <v>34</v>
      </c>
      <c r="I55" s="4" t="s">
        <v>96</v>
      </c>
      <c r="J55" s="4" t="s">
        <v>93</v>
      </c>
      <c r="K55" s="4"/>
      <c r="L55" s="4"/>
      <c r="M55" s="4">
        <v>10</v>
      </c>
      <c r="N55" s="4"/>
      <c r="O55" s="4"/>
      <c r="P55" s="4"/>
      <c r="Q55" s="4"/>
      <c r="R55" s="4"/>
      <c r="S55" s="4"/>
      <c r="T55" s="4"/>
      <c r="U55" s="4"/>
      <c r="V55" s="4">
        <f t="shared" si="3"/>
        <v>10</v>
      </c>
    </row>
    <row r="56" spans="1:23" x14ac:dyDescent="0.3">
      <c r="A56">
        <v>52</v>
      </c>
      <c r="B56" s="2">
        <f t="shared" si="2"/>
        <v>45901</v>
      </c>
      <c r="D56" s="4" t="s">
        <v>363</v>
      </c>
      <c r="E56" s="4" t="s">
        <v>154</v>
      </c>
      <c r="F56" s="4" t="s">
        <v>155</v>
      </c>
      <c r="G56" s="4" t="s">
        <v>32</v>
      </c>
      <c r="H56" s="4">
        <v>0</v>
      </c>
      <c r="I56" s="4" t="s">
        <v>156</v>
      </c>
      <c r="J56" s="4" t="s">
        <v>50</v>
      </c>
      <c r="K56" s="4">
        <v>35</v>
      </c>
      <c r="L56" s="4">
        <v>15</v>
      </c>
      <c r="M56" s="4"/>
      <c r="N56" s="4"/>
      <c r="O56" s="4"/>
      <c r="P56" s="4"/>
      <c r="Q56" s="4"/>
      <c r="R56" s="4"/>
      <c r="S56" s="4"/>
      <c r="T56" s="4">
        <v>3</v>
      </c>
      <c r="U56" s="4"/>
      <c r="V56" s="4">
        <f t="shared" si="3"/>
        <v>53</v>
      </c>
    </row>
    <row r="57" spans="1:23" x14ac:dyDescent="0.3">
      <c r="A57">
        <v>53</v>
      </c>
      <c r="B57" s="2">
        <f t="shared" si="2"/>
        <v>45901</v>
      </c>
      <c r="D57" s="4" t="s">
        <v>364</v>
      </c>
      <c r="E57" s="4" t="s">
        <v>365</v>
      </c>
      <c r="F57" s="4" t="s">
        <v>366</v>
      </c>
      <c r="G57" s="4" t="s">
        <v>31</v>
      </c>
      <c r="H57" s="4" t="s">
        <v>34</v>
      </c>
      <c r="I57" s="4" t="s">
        <v>367</v>
      </c>
      <c r="J57" s="4" t="s">
        <v>37</v>
      </c>
      <c r="K57" s="4">
        <v>15</v>
      </c>
      <c r="L57" s="4">
        <v>5</v>
      </c>
      <c r="M57" s="4"/>
      <c r="N57" s="4"/>
      <c r="O57" s="4"/>
      <c r="P57" s="4">
        <v>20</v>
      </c>
      <c r="Q57" s="4"/>
      <c r="R57" s="4"/>
      <c r="S57" s="4"/>
      <c r="T57" s="4"/>
      <c r="U57" s="4"/>
      <c r="V57" s="4">
        <f t="shared" si="3"/>
        <v>40</v>
      </c>
    </row>
    <row r="58" spans="1:23" x14ac:dyDescent="0.3">
      <c r="A58">
        <v>54</v>
      </c>
      <c r="B58" s="2">
        <f t="shared" si="2"/>
        <v>45901</v>
      </c>
      <c r="D58" s="4" t="s">
        <v>368</v>
      </c>
      <c r="E58" s="4" t="s">
        <v>289</v>
      </c>
      <c r="F58" s="4" t="s">
        <v>290</v>
      </c>
      <c r="G58" s="4" t="s">
        <v>32</v>
      </c>
      <c r="H58" s="4" t="s">
        <v>34</v>
      </c>
      <c r="I58" s="4" t="s">
        <v>291</v>
      </c>
      <c r="J58" s="4" t="s">
        <v>213</v>
      </c>
      <c r="K58" s="4">
        <v>35</v>
      </c>
      <c r="L58" s="4">
        <v>15</v>
      </c>
      <c r="M58" s="4"/>
      <c r="N58" s="4"/>
      <c r="O58" s="4"/>
      <c r="P58" s="4"/>
      <c r="Q58" s="4"/>
      <c r="R58" s="4"/>
      <c r="S58" s="4"/>
      <c r="T58" s="4"/>
      <c r="U58" s="4"/>
      <c r="V58" s="4">
        <f t="shared" si="3"/>
        <v>50</v>
      </c>
    </row>
    <row r="59" spans="1:23" x14ac:dyDescent="0.3">
      <c r="A59">
        <v>55</v>
      </c>
      <c r="B59" s="2">
        <f t="shared" si="2"/>
        <v>45901</v>
      </c>
      <c r="D59" s="4" t="s">
        <v>369</v>
      </c>
      <c r="E59" s="4" t="s">
        <v>295</v>
      </c>
      <c r="F59" s="4" t="s">
        <v>296</v>
      </c>
      <c r="G59" s="4" t="s">
        <v>31</v>
      </c>
      <c r="H59" s="4" t="s">
        <v>34</v>
      </c>
      <c r="I59" s="4" t="s">
        <v>157</v>
      </c>
      <c r="J59" s="4" t="s">
        <v>50</v>
      </c>
      <c r="K59" s="4">
        <v>50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>
        <f t="shared" si="3"/>
        <v>50</v>
      </c>
    </row>
    <row r="60" spans="1:23" x14ac:dyDescent="0.3">
      <c r="A60">
        <v>56</v>
      </c>
      <c r="B60" s="2">
        <f t="shared" si="2"/>
        <v>45901</v>
      </c>
      <c r="D60" s="4" t="s">
        <v>370</v>
      </c>
      <c r="E60" s="4" t="s">
        <v>297</v>
      </c>
      <c r="F60" s="4" t="s">
        <v>298</v>
      </c>
      <c r="G60" s="4" t="s">
        <v>31</v>
      </c>
      <c r="H60" s="4" t="s">
        <v>34</v>
      </c>
      <c r="I60" s="4" t="s">
        <v>64</v>
      </c>
      <c r="J60" s="4" t="s">
        <v>50</v>
      </c>
      <c r="K60" s="4">
        <v>50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>
        <f t="shared" si="3"/>
        <v>50</v>
      </c>
    </row>
    <row r="61" spans="1:23" x14ac:dyDescent="0.3">
      <c r="A61">
        <v>57</v>
      </c>
      <c r="B61" s="2">
        <f t="shared" si="2"/>
        <v>45901</v>
      </c>
      <c r="D61" s="4" t="s">
        <v>371</v>
      </c>
      <c r="E61" s="4" t="s">
        <v>252</v>
      </c>
      <c r="F61" s="4" t="s">
        <v>262</v>
      </c>
      <c r="G61" s="4" t="s">
        <v>32</v>
      </c>
      <c r="H61" s="4">
        <v>0</v>
      </c>
      <c r="I61" s="4" t="s">
        <v>37</v>
      </c>
      <c r="J61" s="4" t="s">
        <v>37</v>
      </c>
      <c r="K61" s="4">
        <v>30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>
        <f t="shared" si="3"/>
        <v>30</v>
      </c>
    </row>
    <row r="62" spans="1:23" x14ac:dyDescent="0.3">
      <c r="A62">
        <v>58</v>
      </c>
      <c r="B62" s="2">
        <f t="shared" si="2"/>
        <v>45901</v>
      </c>
      <c r="D62" s="4" t="s">
        <v>372</v>
      </c>
      <c r="E62" s="4" t="s">
        <v>373</v>
      </c>
      <c r="F62" s="4" t="s">
        <v>374</v>
      </c>
      <c r="G62" s="4" t="s">
        <v>32</v>
      </c>
      <c r="H62" s="4">
        <v>0</v>
      </c>
      <c r="I62" s="4" t="s">
        <v>64</v>
      </c>
      <c r="J62" s="4" t="s">
        <v>50</v>
      </c>
      <c r="K62" s="4">
        <v>30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>
        <f t="shared" si="3"/>
        <v>30</v>
      </c>
    </row>
    <row r="63" spans="1:23" x14ac:dyDescent="0.3">
      <c r="A63">
        <v>59</v>
      </c>
      <c r="B63" s="2">
        <f t="shared" si="2"/>
        <v>45901</v>
      </c>
      <c r="D63" s="4" t="s">
        <v>375</v>
      </c>
      <c r="E63" s="4" t="s">
        <v>199</v>
      </c>
      <c r="F63" s="4" t="s">
        <v>200</v>
      </c>
      <c r="G63" s="4" t="s">
        <v>31</v>
      </c>
      <c r="H63" s="4" t="s">
        <v>34</v>
      </c>
      <c r="I63" s="4" t="s">
        <v>37</v>
      </c>
      <c r="J63" s="4" t="s">
        <v>37</v>
      </c>
      <c r="K63" s="4">
        <v>40</v>
      </c>
      <c r="L63" s="4">
        <v>10</v>
      </c>
      <c r="M63" s="4"/>
      <c r="N63" s="4"/>
      <c r="O63" s="4"/>
      <c r="P63" s="4"/>
      <c r="Q63" s="4"/>
      <c r="R63" s="4"/>
      <c r="S63" s="4"/>
      <c r="T63" s="4"/>
      <c r="U63" s="4"/>
      <c r="V63" s="4">
        <f t="shared" si="3"/>
        <v>50</v>
      </c>
    </row>
    <row r="64" spans="1:23" x14ac:dyDescent="0.3">
      <c r="A64">
        <v>60</v>
      </c>
      <c r="B64" s="2">
        <f t="shared" si="2"/>
        <v>45901</v>
      </c>
      <c r="D64" s="4" t="s">
        <v>376</v>
      </c>
      <c r="E64" s="4" t="s">
        <v>120</v>
      </c>
      <c r="F64" s="4" t="s">
        <v>121</v>
      </c>
      <c r="G64" s="4" t="s">
        <v>32</v>
      </c>
      <c r="H64" s="4">
        <v>0</v>
      </c>
      <c r="I64" s="4" t="s">
        <v>55</v>
      </c>
      <c r="J64" s="4" t="s">
        <v>55</v>
      </c>
      <c r="K64" s="4">
        <v>50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>
        <f t="shared" si="3"/>
        <v>50</v>
      </c>
    </row>
    <row r="65" spans="1:22" x14ac:dyDescent="0.3">
      <c r="A65">
        <v>61</v>
      </c>
      <c r="B65" s="2">
        <f t="shared" si="2"/>
        <v>45901</v>
      </c>
      <c r="D65" s="4" t="s">
        <v>377</v>
      </c>
      <c r="E65" s="4" t="s">
        <v>259</v>
      </c>
      <c r="F65" s="4" t="s">
        <v>260</v>
      </c>
      <c r="G65" s="4" t="s">
        <v>32</v>
      </c>
      <c r="H65" s="4">
        <v>0</v>
      </c>
      <c r="I65" s="4" t="s">
        <v>261</v>
      </c>
      <c r="J65" s="4" t="s">
        <v>50</v>
      </c>
      <c r="K65" s="4">
        <v>30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>
        <f t="shared" si="3"/>
        <v>30</v>
      </c>
    </row>
    <row r="66" spans="1:22" x14ac:dyDescent="0.3">
      <c r="A66">
        <v>62</v>
      </c>
      <c r="B66" s="2">
        <f t="shared" si="2"/>
        <v>45901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>
        <f t="shared" si="3"/>
        <v>0</v>
      </c>
    </row>
    <row r="67" spans="1:22" x14ac:dyDescent="0.3">
      <c r="A67">
        <v>63</v>
      </c>
      <c r="B67" s="2">
        <f t="shared" si="2"/>
        <v>45901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>
        <f t="shared" si="3"/>
        <v>0</v>
      </c>
    </row>
    <row r="68" spans="1:22" x14ac:dyDescent="0.3">
      <c r="A68">
        <v>64</v>
      </c>
      <c r="B68" s="2">
        <f t="shared" si="2"/>
        <v>45901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>
        <f t="shared" si="3"/>
        <v>0</v>
      </c>
    </row>
    <row r="69" spans="1:22" x14ac:dyDescent="0.3">
      <c r="A69">
        <v>65</v>
      </c>
      <c r="B69" s="2">
        <f t="shared" ref="B69:B81" si="4">$I$94</f>
        <v>45901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>
        <f t="shared" si="3"/>
        <v>0</v>
      </c>
    </row>
    <row r="70" spans="1:22" x14ac:dyDescent="0.3">
      <c r="A70">
        <v>66</v>
      </c>
      <c r="B70" s="2">
        <f t="shared" si="4"/>
        <v>45901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>
        <f t="shared" ref="V70:V93" si="5">SUM(K70:U70)</f>
        <v>0</v>
      </c>
    </row>
    <row r="71" spans="1:22" x14ac:dyDescent="0.3">
      <c r="A71">
        <v>67</v>
      </c>
      <c r="B71" s="2">
        <f t="shared" si="4"/>
        <v>45901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>
        <f t="shared" si="5"/>
        <v>0</v>
      </c>
    </row>
    <row r="72" spans="1:22" x14ac:dyDescent="0.3">
      <c r="A72">
        <v>68</v>
      </c>
      <c r="B72" s="2">
        <f t="shared" si="4"/>
        <v>45901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>
        <f t="shared" si="5"/>
        <v>0</v>
      </c>
    </row>
    <row r="73" spans="1:22" x14ac:dyDescent="0.3">
      <c r="A73">
        <v>69</v>
      </c>
      <c r="B73" s="2">
        <f t="shared" si="4"/>
        <v>45901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>
        <f t="shared" si="5"/>
        <v>0</v>
      </c>
    </row>
    <row r="74" spans="1:22" x14ac:dyDescent="0.3">
      <c r="A74">
        <v>70</v>
      </c>
      <c r="B74" s="2">
        <f t="shared" si="4"/>
        <v>45901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>
        <f t="shared" si="5"/>
        <v>0</v>
      </c>
    </row>
    <row r="75" spans="1:22" x14ac:dyDescent="0.3">
      <c r="A75">
        <v>71</v>
      </c>
      <c r="B75" s="2">
        <f t="shared" si="4"/>
        <v>45901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>
        <f t="shared" si="5"/>
        <v>0</v>
      </c>
    </row>
    <row r="76" spans="1:22" x14ac:dyDescent="0.3">
      <c r="A76">
        <v>72</v>
      </c>
      <c r="B76" s="2">
        <f t="shared" si="4"/>
        <v>45901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>
        <f t="shared" si="5"/>
        <v>0</v>
      </c>
    </row>
    <row r="77" spans="1:22" x14ac:dyDescent="0.3">
      <c r="A77">
        <v>73</v>
      </c>
      <c r="B77" s="2">
        <f t="shared" si="4"/>
        <v>45901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>
        <f t="shared" si="5"/>
        <v>0</v>
      </c>
    </row>
    <row r="78" spans="1:22" x14ac:dyDescent="0.3">
      <c r="A78">
        <v>74</v>
      </c>
      <c r="B78" s="2">
        <f t="shared" si="4"/>
        <v>45901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>
        <f t="shared" si="5"/>
        <v>0</v>
      </c>
    </row>
    <row r="79" spans="1:22" x14ac:dyDescent="0.3">
      <c r="A79">
        <v>75</v>
      </c>
      <c r="B79" s="2">
        <f t="shared" si="4"/>
        <v>45901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>
        <f t="shared" si="5"/>
        <v>0</v>
      </c>
    </row>
    <row r="80" spans="1:22" x14ac:dyDescent="0.3">
      <c r="A80">
        <v>76</v>
      </c>
      <c r="B80" s="2">
        <f t="shared" si="4"/>
        <v>45901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>
        <f t="shared" si="5"/>
        <v>0</v>
      </c>
    </row>
    <row r="81" spans="1:24" x14ac:dyDescent="0.3">
      <c r="A81">
        <v>77</v>
      </c>
      <c r="B81" s="2">
        <f t="shared" si="4"/>
        <v>45901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>
        <f t="shared" si="5"/>
        <v>0</v>
      </c>
    </row>
    <row r="82" spans="1:24" x14ac:dyDescent="0.3">
      <c r="A82">
        <v>78</v>
      </c>
      <c r="B82" s="2">
        <f>$I$94</f>
        <v>45901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>
        <f t="shared" si="5"/>
        <v>0</v>
      </c>
    </row>
    <row r="83" spans="1:24" x14ac:dyDescent="0.3">
      <c r="A83">
        <v>79</v>
      </c>
      <c r="B83" s="2">
        <f>$I$94</f>
        <v>45901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>
        <f t="shared" si="5"/>
        <v>0</v>
      </c>
    </row>
    <row r="84" spans="1:24" x14ac:dyDescent="0.3">
      <c r="A84">
        <v>80</v>
      </c>
      <c r="B84" s="2">
        <f>$I$94</f>
        <v>45901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>
        <f t="shared" si="5"/>
        <v>0</v>
      </c>
    </row>
    <row r="85" spans="1:24" x14ac:dyDescent="0.3">
      <c r="A85">
        <v>81</v>
      </c>
      <c r="B85" s="2">
        <f>$I$94</f>
        <v>45901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>
        <f t="shared" si="5"/>
        <v>0</v>
      </c>
    </row>
    <row r="86" spans="1:24" x14ac:dyDescent="0.3">
      <c r="A86">
        <v>81</v>
      </c>
      <c r="B86" s="2">
        <f t="shared" ref="B86:B89" si="6">$I$94</f>
        <v>45901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>
        <f t="shared" si="5"/>
        <v>0</v>
      </c>
    </row>
    <row r="87" spans="1:24" x14ac:dyDescent="0.3">
      <c r="A87">
        <v>81</v>
      </c>
      <c r="B87" s="2">
        <f t="shared" si="6"/>
        <v>45901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>
        <f t="shared" si="5"/>
        <v>0</v>
      </c>
    </row>
    <row r="88" spans="1:24" x14ac:dyDescent="0.3">
      <c r="A88">
        <v>81</v>
      </c>
      <c r="B88" s="2">
        <f t="shared" si="6"/>
        <v>45901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>
        <f t="shared" si="5"/>
        <v>0</v>
      </c>
    </row>
    <row r="89" spans="1:24" x14ac:dyDescent="0.3">
      <c r="A89">
        <v>81</v>
      </c>
      <c r="B89" s="2">
        <f t="shared" si="6"/>
        <v>45901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>
        <f t="shared" si="5"/>
        <v>0</v>
      </c>
    </row>
    <row r="90" spans="1:24" x14ac:dyDescent="0.3">
      <c r="A90">
        <v>84</v>
      </c>
      <c r="B90" s="2">
        <f>$I$94</f>
        <v>45901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>
        <f t="shared" si="5"/>
        <v>0</v>
      </c>
    </row>
    <row r="91" spans="1:24" x14ac:dyDescent="0.3">
      <c r="A91">
        <v>85</v>
      </c>
      <c r="B91" s="2">
        <f>$I$94</f>
        <v>45901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>
        <f t="shared" si="5"/>
        <v>0</v>
      </c>
    </row>
    <row r="92" spans="1:24" x14ac:dyDescent="0.3">
      <c r="A92">
        <v>86</v>
      </c>
      <c r="B92" s="2">
        <f>$I$94</f>
        <v>45901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>
        <f t="shared" si="5"/>
        <v>0</v>
      </c>
    </row>
    <row r="93" spans="1:24" x14ac:dyDescent="0.3">
      <c r="A93">
        <v>87</v>
      </c>
      <c r="B93" s="2">
        <f>$I$94</f>
        <v>45901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V93" s="4">
        <f t="shared" si="5"/>
        <v>0</v>
      </c>
    </row>
    <row r="94" spans="1:24" ht="23.4" x14ac:dyDescent="0.3">
      <c r="A94" s="1"/>
      <c r="B94" s="1"/>
      <c r="C94" s="1"/>
      <c r="D94" s="5"/>
      <c r="E94" s="6" t="s">
        <v>14</v>
      </c>
      <c r="F94" s="6">
        <f>(K94+L94+Q94)*11.2+(M94*12.1)+(N94+O94+P94+R94)*0.6*11.2</f>
        <v>52903.179999999993</v>
      </c>
      <c r="G94" s="1"/>
      <c r="H94" s="4"/>
      <c r="I94" s="7">
        <v>45901</v>
      </c>
      <c r="J94" s="8"/>
      <c r="K94" s="8">
        <f t="shared" ref="K94:V94" si="7">SUM(K5:K93)</f>
        <v>1238</v>
      </c>
      <c r="L94" s="8">
        <f t="shared" si="7"/>
        <v>785</v>
      </c>
      <c r="M94" s="8">
        <f t="shared" si="7"/>
        <v>723</v>
      </c>
      <c r="N94" s="8">
        <f t="shared" si="7"/>
        <v>1401</v>
      </c>
      <c r="O94" s="8">
        <f t="shared" si="7"/>
        <v>963</v>
      </c>
      <c r="P94" s="8">
        <f t="shared" si="7"/>
        <v>835</v>
      </c>
      <c r="Q94" s="8">
        <f t="shared" si="7"/>
        <v>0</v>
      </c>
      <c r="R94" s="8">
        <f t="shared" si="7"/>
        <v>0</v>
      </c>
      <c r="S94" s="8">
        <f t="shared" si="7"/>
        <v>1</v>
      </c>
      <c r="T94" s="8">
        <f t="shared" si="7"/>
        <v>3</v>
      </c>
      <c r="U94" s="8">
        <f t="shared" si="7"/>
        <v>0</v>
      </c>
      <c r="V94" s="8">
        <f t="shared" si="7"/>
        <v>5949</v>
      </c>
      <c r="W94" s="9"/>
      <c r="X94" s="10"/>
    </row>
    <row r="100" spans="23:23" x14ac:dyDescent="0.3">
      <c r="W100" s="25"/>
    </row>
    <row r="101" spans="23:23" x14ac:dyDescent="0.3">
      <c r="W101" s="25"/>
    </row>
    <row r="102" spans="23:23" x14ac:dyDescent="0.3">
      <c r="W102" s="25"/>
    </row>
  </sheetData>
  <conditionalFormatting sqref="D1">
    <cfRule type="duplicateValues" dxfId="231" priority="57"/>
    <cfRule type="duplicateValues" dxfId="230" priority="58"/>
    <cfRule type="duplicateValues" dxfId="229" priority="59"/>
    <cfRule type="duplicateValues" dxfId="228" priority="60"/>
    <cfRule type="duplicateValues" dxfId="227" priority="61"/>
    <cfRule type="duplicateValues" dxfId="226" priority="62"/>
    <cfRule type="duplicateValues" dxfId="225" priority="63"/>
    <cfRule type="duplicateValues" dxfId="224" priority="64"/>
    <cfRule type="duplicateValues" dxfId="223" priority="65"/>
    <cfRule type="duplicateValues" dxfId="222" priority="66"/>
    <cfRule type="duplicateValues" dxfId="221" priority="67"/>
    <cfRule type="duplicateValues" dxfId="220" priority="68"/>
    <cfRule type="duplicateValues" dxfId="219" priority="69"/>
    <cfRule type="duplicateValues" dxfId="218" priority="70"/>
    <cfRule type="duplicateValues" dxfId="217" priority="71"/>
    <cfRule type="duplicateValues" dxfId="216" priority="72"/>
    <cfRule type="duplicateValues" dxfId="215" priority="73"/>
    <cfRule type="duplicateValues" dxfId="214" priority="74"/>
    <cfRule type="duplicateValues" dxfId="213" priority="75"/>
    <cfRule type="duplicateValues" dxfId="212" priority="76"/>
  </conditionalFormatting>
  <conditionalFormatting sqref="D1:D1048576">
    <cfRule type="duplicateValues" dxfId="211" priority="1"/>
  </conditionalFormatting>
  <conditionalFormatting sqref="D2">
    <cfRule type="duplicateValues" dxfId="210" priority="77"/>
    <cfRule type="duplicateValues" dxfId="209" priority="78"/>
    <cfRule type="duplicateValues" dxfId="208" priority="79"/>
    <cfRule type="duplicateValues" dxfId="207" priority="80"/>
    <cfRule type="duplicateValues" dxfId="206" priority="81"/>
    <cfRule type="duplicateValues" dxfId="205" priority="82"/>
    <cfRule type="duplicateValues" dxfId="204" priority="83"/>
    <cfRule type="duplicateValues" dxfId="203" priority="84"/>
    <cfRule type="duplicateValues" dxfId="202" priority="85"/>
    <cfRule type="duplicateValues" dxfId="201" priority="86"/>
    <cfRule type="duplicateValues" dxfId="200" priority="87"/>
    <cfRule type="duplicateValues" dxfId="199" priority="88"/>
    <cfRule type="duplicateValues" dxfId="198" priority="89"/>
    <cfRule type="duplicateValues" dxfId="197" priority="90"/>
    <cfRule type="duplicateValues" dxfId="196" priority="91"/>
    <cfRule type="duplicateValues" dxfId="195" priority="92"/>
    <cfRule type="duplicateValues" dxfId="194" priority="93"/>
    <cfRule type="duplicateValues" dxfId="193" priority="94"/>
    <cfRule type="duplicateValues" dxfId="192" priority="95"/>
    <cfRule type="duplicateValues" dxfId="191" priority="96"/>
  </conditionalFormatting>
  <conditionalFormatting sqref="D3">
    <cfRule type="duplicateValues" dxfId="190" priority="97"/>
    <cfRule type="duplicateValues" dxfId="189" priority="98"/>
    <cfRule type="duplicateValues" dxfId="188" priority="99"/>
    <cfRule type="duplicateValues" dxfId="187" priority="100"/>
    <cfRule type="duplicateValues" dxfId="186" priority="101"/>
    <cfRule type="duplicateValues" dxfId="185" priority="102"/>
    <cfRule type="duplicateValues" dxfId="184" priority="103"/>
    <cfRule type="duplicateValues" dxfId="183" priority="104"/>
    <cfRule type="duplicateValues" dxfId="182" priority="105"/>
    <cfRule type="duplicateValues" dxfId="181" priority="106"/>
    <cfRule type="duplicateValues" dxfId="180" priority="107"/>
    <cfRule type="duplicateValues" dxfId="179" priority="108"/>
    <cfRule type="duplicateValues" dxfId="178" priority="109"/>
    <cfRule type="duplicateValues" dxfId="177" priority="110"/>
    <cfRule type="duplicateValues" dxfId="176" priority="111"/>
    <cfRule type="duplicateValues" dxfId="175" priority="112"/>
    <cfRule type="duplicateValues" dxfId="174" priority="113"/>
    <cfRule type="duplicateValues" dxfId="173" priority="114"/>
    <cfRule type="duplicateValues" dxfId="172" priority="115"/>
    <cfRule type="duplicateValues" dxfId="171" priority="116"/>
  </conditionalFormatting>
  <conditionalFormatting sqref="D4">
    <cfRule type="duplicateValues" dxfId="170" priority="55"/>
    <cfRule type="duplicateValues" dxfId="169" priority="56"/>
  </conditionalFormatting>
  <conditionalFormatting sqref="D5:D91">
    <cfRule type="duplicateValues" dxfId="168" priority="2"/>
  </conditionalFormatting>
  <conditionalFormatting sqref="D94">
    <cfRule type="duplicateValues" dxfId="167" priority="9"/>
    <cfRule type="duplicateValues" dxfId="166" priority="10"/>
    <cfRule type="duplicateValues" dxfId="165" priority="11"/>
    <cfRule type="duplicateValues" dxfId="164" priority="12"/>
    <cfRule type="duplicateValues" dxfId="163" priority="13"/>
    <cfRule type="duplicateValues" dxfId="162" priority="14"/>
    <cfRule type="duplicateValues" dxfId="161" priority="15"/>
    <cfRule type="duplicateValues" dxfId="160" priority="16"/>
    <cfRule type="duplicateValues" dxfId="159" priority="17"/>
    <cfRule type="duplicateValues" dxfId="158" priority="18"/>
    <cfRule type="duplicateValues" dxfId="157" priority="19"/>
    <cfRule type="duplicateValues" dxfId="156" priority="20"/>
    <cfRule type="duplicateValues" dxfId="155" priority="21"/>
    <cfRule type="duplicateValues" dxfId="154" priority="22"/>
    <cfRule type="duplicateValues" dxfId="153" priority="23"/>
    <cfRule type="duplicateValues" dxfId="152" priority="24"/>
    <cfRule type="duplicateValues" dxfId="151" priority="25"/>
    <cfRule type="duplicateValues" dxfId="150" priority="26"/>
    <cfRule type="duplicateValues" dxfId="149" priority="27"/>
    <cfRule type="duplicateValues" dxfId="148" priority="28"/>
    <cfRule type="duplicateValues" dxfId="147" priority="29"/>
    <cfRule type="duplicateValues" dxfId="146" priority="30"/>
    <cfRule type="duplicateValues" dxfId="145" priority="31"/>
    <cfRule type="duplicateValues" dxfId="144" priority="32"/>
    <cfRule type="duplicateValues" dxfId="143" priority="33"/>
    <cfRule type="duplicateValues" dxfId="142" priority="34"/>
    <cfRule type="duplicateValues" dxfId="141" priority="35"/>
    <cfRule type="duplicateValues" dxfId="140" priority="36"/>
    <cfRule type="duplicateValues" dxfId="139" priority="37"/>
    <cfRule type="duplicateValues" dxfId="138" priority="38"/>
    <cfRule type="duplicateValues" dxfId="137" priority="39"/>
    <cfRule type="duplicateValues" dxfId="136" priority="40"/>
    <cfRule type="duplicateValues" dxfId="135" priority="41"/>
    <cfRule type="duplicateValues" dxfId="134" priority="42"/>
    <cfRule type="duplicateValues" dxfId="133" priority="43"/>
    <cfRule type="duplicateValues" dxfId="132" priority="48"/>
    <cfRule type="duplicateValues" dxfId="131" priority="49"/>
    <cfRule type="duplicateValues" dxfId="130" priority="50"/>
    <cfRule type="duplicateValues" dxfId="129" priority="51"/>
    <cfRule type="duplicateValues" dxfId="128" priority="52"/>
    <cfRule type="duplicateValues" dxfId="127" priority="53"/>
    <cfRule type="duplicateValues" dxfId="126" priority="54"/>
  </conditionalFormatting>
  <conditionalFormatting sqref="D94:D1048576 D1:D4 D92:F93 I92:I93">
    <cfRule type="duplicateValues" dxfId="125" priority="3"/>
  </conditionalFormatting>
  <conditionalFormatting sqref="D94:D1048576 D1:D4">
    <cfRule type="duplicateValues" dxfId="124" priority="4"/>
  </conditionalFormatting>
  <conditionalFormatting sqref="E94">
    <cfRule type="duplicateValues" dxfId="123" priority="44"/>
    <cfRule type="duplicateValues" dxfId="122" priority="45"/>
    <cfRule type="duplicateValues" dxfId="121" priority="46"/>
    <cfRule type="duplicateValues" dxfId="120" priority="47"/>
  </conditionalFormatting>
  <conditionalFormatting sqref="F94">
    <cfRule type="duplicateValues" dxfId="119" priority="5"/>
    <cfRule type="duplicateValues" dxfId="118" priority="6"/>
    <cfRule type="duplicateValues" dxfId="117" priority="7"/>
    <cfRule type="duplicateValues" dxfId="116" priority="8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A4A2-4A4D-4E8F-A28B-742F1223DFEB}">
  <dimension ref="A1:AF102"/>
  <sheetViews>
    <sheetView topLeftCell="M10" workbookViewId="0">
      <selection activeCell="Z18" sqref="Z18:AF29"/>
    </sheetView>
  </sheetViews>
  <sheetFormatPr defaultRowHeight="14.4" x14ac:dyDescent="0.3"/>
  <cols>
    <col min="1" max="1" width="5.77734375" customWidth="1"/>
    <col min="2" max="2" width="12.109375" style="16" customWidth="1"/>
    <col min="3" max="3" width="12.109375" customWidth="1"/>
    <col min="4" max="4" width="16.5546875" customWidth="1"/>
    <col min="5" max="5" width="13.33203125" customWidth="1"/>
    <col min="6" max="6" width="77" customWidth="1"/>
    <col min="7" max="7" width="15" customWidth="1"/>
    <col min="8" max="8" width="13.44140625" customWidth="1"/>
    <col min="9" max="9" width="64.6640625" customWidth="1"/>
    <col min="10" max="10" width="13.109375" customWidth="1"/>
    <col min="11" max="21" width="9.88671875" customWidth="1"/>
    <col min="22" max="22" width="12.33203125" customWidth="1"/>
    <col min="23" max="23" width="17.5546875" customWidth="1"/>
    <col min="28" max="28" width="12.109375" customWidth="1"/>
    <col min="29" max="29" width="15" customWidth="1"/>
  </cols>
  <sheetData>
    <row r="1" spans="1:29" x14ac:dyDescent="0.3">
      <c r="D1" s="3" t="str">
        <f>_xlfn.CONCAT(D55,",",D78,",",D77,",",D76,",",D75,",",D74,",",D73,",",D72,",",D71,",",D70,",",D69,",",D68,",",D67,",",D66,",",D66,",",D65,",",D64,",",D63,",",D62,",",D61,",",D60,",",D59,",",D58,",",D57,",",D56)</f>
        <v>SO-150986,,,,,,,,,,,,,,,,,,,,SO-151022,SO-151025,SO-151009,SO-150972,SO-150865</v>
      </c>
      <c r="K1" s="24">
        <f t="shared" ref="K1:S1" si="0">K2-K3</f>
        <v>3239</v>
      </c>
      <c r="L1" s="24">
        <f t="shared" si="0"/>
        <v>6572</v>
      </c>
      <c r="M1" s="24">
        <f t="shared" si="0"/>
        <v>-439</v>
      </c>
      <c r="N1" s="24">
        <f t="shared" si="0"/>
        <v>106</v>
      </c>
      <c r="O1" s="24">
        <f t="shared" si="0"/>
        <v>-897</v>
      </c>
      <c r="P1" s="24">
        <f t="shared" si="0"/>
        <v>1306</v>
      </c>
      <c r="Q1" s="24">
        <f t="shared" si="0"/>
        <v>0</v>
      </c>
      <c r="R1" s="24">
        <f t="shared" si="0"/>
        <v>195</v>
      </c>
      <c r="S1" s="24">
        <f t="shared" si="0"/>
        <v>-5</v>
      </c>
    </row>
    <row r="2" spans="1:29" x14ac:dyDescent="0.3">
      <c r="D2" s="3" t="str">
        <f>_xlfn.CONCAT(D30,",",D31,",",D32,",",D33,",",D34,",",D35,",",D36,",",D37,",",D38,",",D39,",",D40,",",D41,",",D42,",",D43,",",D44,",",D45,",",D46,",",D47,",",D48,",",D49,",",D50,",",D51,",",D52,",",D53,",",D54)</f>
        <v>SO-150947,SO-150927,SO-150935,SO-150951,SO-150952,SO-150953,SO-150960,SO-150961,SO-150929,SO-150945,SO-150936,SO-150932,SO-150933,SO-150934,SO-150940,SO-150943,SO-150964,SO-151030,SO-151034,SO-150880,SO-150882,SO-150970,SO-150973,SO-150974,SO-150982</v>
      </c>
      <c r="K2">
        <v>4160</v>
      </c>
      <c r="L2">
        <v>6964</v>
      </c>
      <c r="M2">
        <v>447</v>
      </c>
      <c r="N2">
        <v>2040</v>
      </c>
      <c r="O2">
        <v>965</v>
      </c>
      <c r="P2">
        <v>1933</v>
      </c>
      <c r="R2">
        <v>200</v>
      </c>
    </row>
    <row r="3" spans="1:29" x14ac:dyDescent="0.3">
      <c r="D3" s="3" t="str">
        <f>_xlfn.CONCAT(D5,",",D6,",",D7,",",D8,",",D9,",",D10,",",D11,",",D12,",",D13,",",D14,",",D15,",",D16,",",D17,",",D18,",",D19,",",D20,",",D21,",",D22,",",D23,",",D24,",",D25,",",D26,",",D27,",",D28,",",D29)</f>
        <v>SO-150980,SO-150983,SO-150857,SO-150866,SO-150979,SO-151047,SO-151053,SO-151055,SO-151059,SO-151057,SO-150985,SO-150988,SO-150989,SO-151056,SO-150984,SO-151070,SO-151078,SO-151044,SO-151090,SO-151094,SO-151096,SO-151099,SO-150956,SO-150959,SO-150957</v>
      </c>
      <c r="K3" s="14">
        <f t="shared" ref="K3:U3" si="1">SUM(K5:K93)</f>
        <v>921</v>
      </c>
      <c r="L3" s="14">
        <f t="shared" si="1"/>
        <v>392</v>
      </c>
      <c r="M3" s="14">
        <f t="shared" si="1"/>
        <v>886</v>
      </c>
      <c r="N3" s="14">
        <f t="shared" si="1"/>
        <v>1934</v>
      </c>
      <c r="O3" s="14">
        <f t="shared" si="1"/>
        <v>1862</v>
      </c>
      <c r="P3" s="14">
        <f t="shared" si="1"/>
        <v>627</v>
      </c>
      <c r="Q3" s="14">
        <f t="shared" si="1"/>
        <v>0</v>
      </c>
      <c r="R3" s="14">
        <f t="shared" si="1"/>
        <v>5</v>
      </c>
      <c r="S3" s="14">
        <f t="shared" si="1"/>
        <v>5</v>
      </c>
      <c r="T3" s="14">
        <f t="shared" si="1"/>
        <v>5</v>
      </c>
      <c r="U3" s="14">
        <f t="shared" si="1"/>
        <v>0</v>
      </c>
      <c r="V3" s="13">
        <f>SUM(V5:V2011)/2</f>
        <v>6637</v>
      </c>
      <c r="W3" s="13">
        <f>T3+M3+L3+K3</f>
        <v>2204</v>
      </c>
      <c r="X3" s="13">
        <f>N3+O3+P3+U3+Q3+R3+S3</f>
        <v>4433</v>
      </c>
      <c r="Y3" s="14">
        <f>X3*0.6</f>
        <v>2659.7999999999997</v>
      </c>
      <c r="Z3" s="15">
        <f>Y3+W3</f>
        <v>4863.7999999999993</v>
      </c>
    </row>
    <row r="4" spans="1:29" ht="43.8" customHeight="1" thickBot="1" x14ac:dyDescent="0.35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15</v>
      </c>
      <c r="G4" s="12" t="s">
        <v>26</v>
      </c>
      <c r="H4" s="12" t="s">
        <v>33</v>
      </c>
      <c r="I4" s="12" t="s">
        <v>35</v>
      </c>
      <c r="J4" s="12" t="s">
        <v>49</v>
      </c>
      <c r="K4" s="12" t="s">
        <v>74</v>
      </c>
      <c r="L4" s="12" t="s">
        <v>75</v>
      </c>
      <c r="M4" s="12" t="s">
        <v>65</v>
      </c>
      <c r="N4" s="12" t="s">
        <v>83</v>
      </c>
      <c r="O4" s="12" t="s">
        <v>84</v>
      </c>
      <c r="P4" s="12" t="s">
        <v>85</v>
      </c>
      <c r="Q4" s="12" t="s">
        <v>124</v>
      </c>
      <c r="R4" s="12" t="s">
        <v>125</v>
      </c>
      <c r="S4" s="12" t="s">
        <v>126</v>
      </c>
      <c r="T4" s="12" t="s">
        <v>76</v>
      </c>
      <c r="U4" s="12" t="s">
        <v>127</v>
      </c>
      <c r="V4" s="12" t="s">
        <v>61</v>
      </c>
      <c r="W4" s="11" t="s">
        <v>62</v>
      </c>
      <c r="X4" s="11" t="s">
        <v>63</v>
      </c>
    </row>
    <row r="5" spans="1:29" x14ac:dyDescent="0.3">
      <c r="A5">
        <v>1</v>
      </c>
      <c r="B5" s="2">
        <f t="shared" ref="B5:B68" si="2">$I$94</f>
        <v>45902</v>
      </c>
      <c r="D5" s="4" t="s">
        <v>380</v>
      </c>
      <c r="E5" s="4" t="s">
        <v>263</v>
      </c>
      <c r="F5" s="4" t="s">
        <v>264</v>
      </c>
      <c r="G5" s="4" t="s">
        <v>27</v>
      </c>
      <c r="H5" s="4">
        <v>0</v>
      </c>
      <c r="I5" s="4" t="s">
        <v>265</v>
      </c>
      <c r="J5" s="4" t="s">
        <v>50</v>
      </c>
      <c r="K5" s="4">
        <v>50</v>
      </c>
      <c r="L5" s="4">
        <v>40</v>
      </c>
      <c r="M5" s="4">
        <v>30</v>
      </c>
      <c r="N5" s="4"/>
      <c r="O5" s="4"/>
      <c r="P5" s="4"/>
      <c r="Q5" s="4"/>
      <c r="R5" s="4"/>
      <c r="S5" s="4"/>
      <c r="T5" s="4"/>
      <c r="U5" s="4"/>
      <c r="V5" s="4">
        <f>SUM(K5:U5)</f>
        <v>120</v>
      </c>
      <c r="AB5" s="17">
        <f>K3</f>
        <v>921</v>
      </c>
      <c r="AC5" s="20" t="s">
        <v>74</v>
      </c>
    </row>
    <row r="6" spans="1:29" x14ac:dyDescent="0.3">
      <c r="A6">
        <v>2</v>
      </c>
      <c r="B6" s="2">
        <f t="shared" si="2"/>
        <v>45902</v>
      </c>
      <c r="D6" s="4" t="s">
        <v>381</v>
      </c>
      <c r="E6" s="4" t="s">
        <v>89</v>
      </c>
      <c r="F6" s="4" t="s">
        <v>97</v>
      </c>
      <c r="G6" s="4" t="s">
        <v>28</v>
      </c>
      <c r="H6" s="4">
        <v>0</v>
      </c>
      <c r="I6" s="4" t="s">
        <v>37</v>
      </c>
      <c r="J6" s="4" t="s">
        <v>37</v>
      </c>
      <c r="K6" s="4">
        <v>100</v>
      </c>
      <c r="L6" s="4">
        <v>75</v>
      </c>
      <c r="M6" s="4">
        <v>50</v>
      </c>
      <c r="N6" s="4"/>
      <c r="O6" s="4"/>
      <c r="P6" s="4"/>
      <c r="Q6" s="4"/>
      <c r="R6" s="4"/>
      <c r="S6" s="4"/>
      <c r="T6" s="4"/>
      <c r="U6" s="4"/>
      <c r="V6" s="4">
        <f t="shared" ref="V6:V69" si="3">SUM(K6:U6)</f>
        <v>225</v>
      </c>
      <c r="AB6" s="18">
        <f>L3</f>
        <v>392</v>
      </c>
      <c r="AC6" s="21" t="s">
        <v>75</v>
      </c>
    </row>
    <row r="7" spans="1:29" x14ac:dyDescent="0.3">
      <c r="A7">
        <v>3</v>
      </c>
      <c r="B7" s="2">
        <f t="shared" si="2"/>
        <v>45902</v>
      </c>
      <c r="D7" s="4" t="s">
        <v>382</v>
      </c>
      <c r="E7" s="4" t="s">
        <v>242</v>
      </c>
      <c r="F7" s="4" t="s">
        <v>243</v>
      </c>
      <c r="G7" s="4" t="s">
        <v>28</v>
      </c>
      <c r="H7" s="4">
        <v>0</v>
      </c>
      <c r="I7" s="4" t="s">
        <v>244</v>
      </c>
      <c r="J7" s="4" t="s">
        <v>37</v>
      </c>
      <c r="K7" s="4"/>
      <c r="L7" s="4"/>
      <c r="M7" s="4"/>
      <c r="N7" s="4">
        <v>30</v>
      </c>
      <c r="O7" s="4"/>
      <c r="P7" s="4">
        <v>25</v>
      </c>
      <c r="Q7" s="4"/>
      <c r="R7" s="4"/>
      <c r="S7" s="4"/>
      <c r="T7" s="4"/>
      <c r="U7" s="4"/>
      <c r="V7" s="4">
        <f t="shared" si="3"/>
        <v>55</v>
      </c>
      <c r="AB7" s="18">
        <f>M3</f>
        <v>886</v>
      </c>
      <c r="AC7" s="21" t="s">
        <v>65</v>
      </c>
    </row>
    <row r="8" spans="1:29" x14ac:dyDescent="0.3">
      <c r="A8">
        <v>4</v>
      </c>
      <c r="B8" s="2">
        <f t="shared" si="2"/>
        <v>45902</v>
      </c>
      <c r="D8" s="4" t="s">
        <v>383</v>
      </c>
      <c r="E8" s="4" t="s">
        <v>181</v>
      </c>
      <c r="F8" s="4" t="s">
        <v>182</v>
      </c>
      <c r="G8" s="4" t="s">
        <v>28</v>
      </c>
      <c r="H8" s="4">
        <v>0</v>
      </c>
      <c r="I8" s="4" t="s">
        <v>183</v>
      </c>
      <c r="J8" s="4" t="s">
        <v>51</v>
      </c>
      <c r="K8" s="4"/>
      <c r="L8" s="4"/>
      <c r="M8" s="4"/>
      <c r="N8" s="4">
        <v>10</v>
      </c>
      <c r="O8" s="4">
        <v>20</v>
      </c>
      <c r="P8" s="4">
        <v>15</v>
      </c>
      <c r="Q8" s="4"/>
      <c r="R8" s="4"/>
      <c r="S8" s="4"/>
      <c r="T8" s="4"/>
      <c r="U8" s="4"/>
      <c r="V8" s="4">
        <f t="shared" si="3"/>
        <v>45</v>
      </c>
      <c r="AB8" s="18">
        <f>N3</f>
        <v>1934</v>
      </c>
      <c r="AC8" s="21" t="s">
        <v>83</v>
      </c>
    </row>
    <row r="9" spans="1:29" x14ac:dyDescent="0.3">
      <c r="A9">
        <v>5</v>
      </c>
      <c r="B9" s="2">
        <f t="shared" si="2"/>
        <v>45902</v>
      </c>
      <c r="D9" s="4" t="s">
        <v>384</v>
      </c>
      <c r="E9" s="4" t="s">
        <v>129</v>
      </c>
      <c r="F9" s="4" t="s">
        <v>130</v>
      </c>
      <c r="G9" s="4" t="s">
        <v>28</v>
      </c>
      <c r="H9" s="4">
        <v>0</v>
      </c>
      <c r="I9" s="4" t="s">
        <v>131</v>
      </c>
      <c r="J9" s="4" t="s">
        <v>55</v>
      </c>
      <c r="K9" s="4"/>
      <c r="L9" s="4">
        <v>50</v>
      </c>
      <c r="M9" s="4">
        <v>50</v>
      </c>
      <c r="N9" s="4"/>
      <c r="O9" s="4"/>
      <c r="P9" s="4">
        <v>20</v>
      </c>
      <c r="Q9" s="4"/>
      <c r="R9" s="4"/>
      <c r="S9" s="4"/>
      <c r="T9" s="4"/>
      <c r="U9" s="4"/>
      <c r="V9" s="4">
        <f t="shared" si="3"/>
        <v>120</v>
      </c>
      <c r="AB9" s="18">
        <f>O3</f>
        <v>1862</v>
      </c>
      <c r="AC9" s="21" t="s">
        <v>84</v>
      </c>
    </row>
    <row r="10" spans="1:29" x14ac:dyDescent="0.3">
      <c r="A10">
        <v>6</v>
      </c>
      <c r="B10" s="2">
        <f t="shared" si="2"/>
        <v>45902</v>
      </c>
      <c r="D10" s="4" t="s">
        <v>385</v>
      </c>
      <c r="E10" s="4" t="s">
        <v>68</v>
      </c>
      <c r="F10" s="4" t="s">
        <v>69</v>
      </c>
      <c r="G10" s="4" t="s">
        <v>28</v>
      </c>
      <c r="H10" s="4">
        <v>0</v>
      </c>
      <c r="I10" s="4" t="s">
        <v>73</v>
      </c>
      <c r="J10" s="4" t="s">
        <v>50</v>
      </c>
      <c r="K10" s="4">
        <v>100</v>
      </c>
      <c r="L10" s="4"/>
      <c r="M10" s="4">
        <v>35</v>
      </c>
      <c r="N10" s="4"/>
      <c r="O10" s="4"/>
      <c r="P10" s="4"/>
      <c r="Q10" s="4"/>
      <c r="R10" s="4"/>
      <c r="S10" s="4"/>
      <c r="T10" s="4"/>
      <c r="U10" s="4"/>
      <c r="V10" s="4">
        <f t="shared" si="3"/>
        <v>135</v>
      </c>
      <c r="AB10" s="18">
        <f>P3</f>
        <v>627</v>
      </c>
      <c r="AC10" s="21" t="s">
        <v>85</v>
      </c>
    </row>
    <row r="11" spans="1:29" x14ac:dyDescent="0.3">
      <c r="A11">
        <v>7</v>
      </c>
      <c r="B11" s="2">
        <f t="shared" si="2"/>
        <v>45902</v>
      </c>
      <c r="D11" s="4" t="s">
        <v>386</v>
      </c>
      <c r="E11" s="4" t="s">
        <v>78</v>
      </c>
      <c r="F11" s="4" t="s">
        <v>79</v>
      </c>
      <c r="G11" s="4" t="s">
        <v>28</v>
      </c>
      <c r="H11" s="4">
        <v>0</v>
      </c>
      <c r="I11" s="4" t="s">
        <v>80</v>
      </c>
      <c r="J11" s="4" t="s">
        <v>60</v>
      </c>
      <c r="K11" s="4">
        <v>50</v>
      </c>
      <c r="L11" s="4"/>
      <c r="M11" s="4">
        <v>15</v>
      </c>
      <c r="N11" s="4"/>
      <c r="O11" s="4"/>
      <c r="P11" s="4"/>
      <c r="Q11" s="4"/>
      <c r="R11" s="4"/>
      <c r="S11" s="4"/>
      <c r="T11" s="4"/>
      <c r="U11" s="4"/>
      <c r="V11" s="4">
        <f t="shared" si="3"/>
        <v>65</v>
      </c>
      <c r="AB11" s="18">
        <f>Q3</f>
        <v>0</v>
      </c>
      <c r="AC11" s="21" t="s">
        <v>124</v>
      </c>
    </row>
    <row r="12" spans="1:29" x14ac:dyDescent="0.3">
      <c r="A12">
        <v>8</v>
      </c>
      <c r="B12" s="2">
        <f t="shared" si="2"/>
        <v>45902</v>
      </c>
      <c r="D12" s="4" t="s">
        <v>387</v>
      </c>
      <c r="E12" s="4" t="s">
        <v>177</v>
      </c>
      <c r="F12" s="4" t="s">
        <v>178</v>
      </c>
      <c r="G12" s="4" t="s">
        <v>28</v>
      </c>
      <c r="H12" s="4">
        <v>0</v>
      </c>
      <c r="I12" s="4" t="s">
        <v>128</v>
      </c>
      <c r="J12" s="4" t="s">
        <v>50</v>
      </c>
      <c r="K12" s="4">
        <v>50</v>
      </c>
      <c r="L12" s="4"/>
      <c r="M12" s="4">
        <v>20</v>
      </c>
      <c r="N12" s="4"/>
      <c r="O12" s="4"/>
      <c r="P12" s="4">
        <v>20</v>
      </c>
      <c r="Q12" s="4"/>
      <c r="R12" s="4"/>
      <c r="S12" s="4"/>
      <c r="T12" s="4"/>
      <c r="U12" s="4"/>
      <c r="V12" s="4">
        <f t="shared" si="3"/>
        <v>90</v>
      </c>
      <c r="AB12" s="18">
        <f>R3</f>
        <v>5</v>
      </c>
      <c r="AC12" s="21" t="s">
        <v>125</v>
      </c>
    </row>
    <row r="13" spans="1:29" x14ac:dyDescent="0.3">
      <c r="A13">
        <v>9</v>
      </c>
      <c r="B13" s="2">
        <f t="shared" si="2"/>
        <v>45902</v>
      </c>
      <c r="D13" s="4" t="s">
        <v>388</v>
      </c>
      <c r="E13" s="4" t="s">
        <v>212</v>
      </c>
      <c r="F13" s="4" t="s">
        <v>210</v>
      </c>
      <c r="G13" s="4" t="s">
        <v>28</v>
      </c>
      <c r="H13" s="4">
        <v>0</v>
      </c>
      <c r="I13" s="4" t="s">
        <v>211</v>
      </c>
      <c r="J13" s="4" t="s">
        <v>50</v>
      </c>
      <c r="K13" s="4">
        <v>75</v>
      </c>
      <c r="L13" s="4">
        <v>40</v>
      </c>
      <c r="M13" s="4">
        <v>50</v>
      </c>
      <c r="N13" s="4"/>
      <c r="O13" s="4"/>
      <c r="P13" s="4">
        <v>80</v>
      </c>
      <c r="Q13" s="4"/>
      <c r="R13" s="4"/>
      <c r="S13" s="4"/>
      <c r="T13" s="4"/>
      <c r="U13" s="4"/>
      <c r="V13" s="4">
        <f t="shared" si="3"/>
        <v>245</v>
      </c>
      <c r="AB13" s="18">
        <f>S3</f>
        <v>5</v>
      </c>
      <c r="AC13" s="21" t="s">
        <v>126</v>
      </c>
    </row>
    <row r="14" spans="1:29" x14ac:dyDescent="0.3">
      <c r="A14">
        <v>10</v>
      </c>
      <c r="B14" s="2">
        <f t="shared" si="2"/>
        <v>45902</v>
      </c>
      <c r="D14" s="4" t="s">
        <v>389</v>
      </c>
      <c r="E14" s="4" t="s">
        <v>164</v>
      </c>
      <c r="F14" s="4" t="s">
        <v>165</v>
      </c>
      <c r="G14" s="4" t="s">
        <v>28</v>
      </c>
      <c r="H14" s="4">
        <v>0</v>
      </c>
      <c r="I14" s="4" t="s">
        <v>37</v>
      </c>
      <c r="J14" s="4" t="s">
        <v>37</v>
      </c>
      <c r="K14" s="4"/>
      <c r="L14" s="4"/>
      <c r="M14" s="4"/>
      <c r="N14" s="4">
        <v>50</v>
      </c>
      <c r="O14" s="4">
        <v>50</v>
      </c>
      <c r="P14" s="4">
        <v>100</v>
      </c>
      <c r="Q14" s="4"/>
      <c r="R14" s="4"/>
      <c r="S14" s="4"/>
      <c r="T14" s="4"/>
      <c r="U14" s="4"/>
      <c r="V14" s="4">
        <f t="shared" si="3"/>
        <v>200</v>
      </c>
      <c r="AB14" s="18">
        <f>T3</f>
        <v>5</v>
      </c>
      <c r="AC14" s="21" t="s">
        <v>76</v>
      </c>
    </row>
    <row r="15" spans="1:29" x14ac:dyDescent="0.3">
      <c r="A15">
        <v>11</v>
      </c>
      <c r="B15" s="2">
        <f t="shared" si="2"/>
        <v>45902</v>
      </c>
      <c r="D15" s="4" t="s">
        <v>390</v>
      </c>
      <c r="E15" s="4" t="s">
        <v>292</v>
      </c>
      <c r="F15" s="4" t="s">
        <v>293</v>
      </c>
      <c r="G15" s="4" t="s">
        <v>28</v>
      </c>
      <c r="H15" s="4">
        <v>0</v>
      </c>
      <c r="I15" s="4" t="s">
        <v>294</v>
      </c>
      <c r="J15" s="4" t="s">
        <v>50</v>
      </c>
      <c r="K15" s="4">
        <v>20</v>
      </c>
      <c r="L15" s="4"/>
      <c r="M15" s="4">
        <v>15</v>
      </c>
      <c r="N15" s="4">
        <v>50</v>
      </c>
      <c r="O15" s="4">
        <v>50</v>
      </c>
      <c r="P15" s="4"/>
      <c r="Q15" s="4"/>
      <c r="R15" s="4"/>
      <c r="S15" s="4"/>
      <c r="T15" s="4"/>
      <c r="U15" s="4"/>
      <c r="V15" s="4">
        <f t="shared" si="3"/>
        <v>135</v>
      </c>
      <c r="AB15" s="18">
        <f>U3</f>
        <v>0</v>
      </c>
      <c r="AC15" s="21" t="s">
        <v>127</v>
      </c>
    </row>
    <row r="16" spans="1:29" ht="15" thickBot="1" x14ac:dyDescent="0.35">
      <c r="A16">
        <v>12</v>
      </c>
      <c r="B16" s="2">
        <f t="shared" si="2"/>
        <v>45902</v>
      </c>
      <c r="D16" s="4" t="s">
        <v>391</v>
      </c>
      <c r="E16" s="4" t="s">
        <v>255</v>
      </c>
      <c r="F16" s="4" t="s">
        <v>256</v>
      </c>
      <c r="G16" s="4" t="s">
        <v>28</v>
      </c>
      <c r="H16" s="4">
        <v>0</v>
      </c>
      <c r="I16" s="4" t="s">
        <v>257</v>
      </c>
      <c r="J16" s="4" t="s">
        <v>50</v>
      </c>
      <c r="K16" s="4"/>
      <c r="L16" s="4"/>
      <c r="M16" s="4"/>
      <c r="N16" s="4">
        <v>100</v>
      </c>
      <c r="O16" s="4">
        <v>100</v>
      </c>
      <c r="P16" s="4"/>
      <c r="Q16" s="4"/>
      <c r="R16" s="4"/>
      <c r="S16" s="4"/>
      <c r="T16" s="4"/>
      <c r="U16" s="4"/>
      <c r="V16" s="4">
        <f t="shared" si="3"/>
        <v>200</v>
      </c>
      <c r="AB16" s="19">
        <f>SUM(AB5:AB15)</f>
        <v>6637</v>
      </c>
      <c r="AC16" s="22" t="s">
        <v>61</v>
      </c>
    </row>
    <row r="17" spans="1:32" x14ac:dyDescent="0.3">
      <c r="A17">
        <v>13</v>
      </c>
      <c r="B17" s="2">
        <f t="shared" si="2"/>
        <v>45902</v>
      </c>
      <c r="D17" s="4" t="s">
        <v>392</v>
      </c>
      <c r="E17" s="4" t="s">
        <v>258</v>
      </c>
      <c r="F17" s="4" t="s">
        <v>256</v>
      </c>
      <c r="G17" s="4" t="s">
        <v>28</v>
      </c>
      <c r="H17" s="4">
        <v>0</v>
      </c>
      <c r="I17" s="4" t="s">
        <v>257</v>
      </c>
      <c r="J17" s="4" t="s">
        <v>50</v>
      </c>
      <c r="K17" s="4"/>
      <c r="L17" s="4"/>
      <c r="M17" s="4"/>
      <c r="N17" s="4"/>
      <c r="O17" s="4"/>
      <c r="P17" s="4"/>
      <c r="Q17" s="4"/>
      <c r="R17" s="4">
        <v>5</v>
      </c>
      <c r="S17" s="4">
        <v>5</v>
      </c>
      <c r="T17" s="4"/>
      <c r="U17" s="4"/>
      <c r="V17" s="4">
        <f t="shared" si="3"/>
        <v>10</v>
      </c>
    </row>
    <row r="18" spans="1:32" x14ac:dyDescent="0.3">
      <c r="A18">
        <v>14</v>
      </c>
      <c r="B18" s="2">
        <f t="shared" si="2"/>
        <v>45902</v>
      </c>
      <c r="D18" s="4" t="s">
        <v>393</v>
      </c>
      <c r="E18" s="4" t="s">
        <v>250</v>
      </c>
      <c r="F18" s="4" t="s">
        <v>251</v>
      </c>
      <c r="G18" s="4" t="s">
        <v>29</v>
      </c>
      <c r="H18" s="4" t="s">
        <v>34</v>
      </c>
      <c r="I18" s="4" t="s">
        <v>53</v>
      </c>
      <c r="J18" s="4" t="s">
        <v>53</v>
      </c>
      <c r="K18" s="4">
        <v>60</v>
      </c>
      <c r="L18" s="4">
        <v>60</v>
      </c>
      <c r="M18" s="4">
        <v>30</v>
      </c>
      <c r="N18" s="4"/>
      <c r="O18" s="4"/>
      <c r="P18" s="4"/>
      <c r="Q18" s="4"/>
      <c r="R18" s="4"/>
      <c r="S18" s="4"/>
      <c r="T18" s="4"/>
      <c r="U18" s="4"/>
      <c r="V18" s="4">
        <f t="shared" si="3"/>
        <v>150</v>
      </c>
      <c r="Z18" t="s">
        <v>445</v>
      </c>
      <c r="AA18" t="s">
        <v>446</v>
      </c>
      <c r="AB18" t="s">
        <v>447</v>
      </c>
      <c r="AC18" t="s">
        <v>448</v>
      </c>
      <c r="AD18" t="s">
        <v>449</v>
      </c>
      <c r="AE18" t="s">
        <v>450</v>
      </c>
      <c r="AF18" t="s">
        <v>451</v>
      </c>
    </row>
    <row r="19" spans="1:32" x14ac:dyDescent="0.3">
      <c r="A19">
        <v>15</v>
      </c>
      <c r="B19" s="2">
        <f t="shared" si="2"/>
        <v>45902</v>
      </c>
      <c r="D19" s="4" t="s">
        <v>394</v>
      </c>
      <c r="E19" s="4" t="s">
        <v>248</v>
      </c>
      <c r="F19" s="4" t="s">
        <v>249</v>
      </c>
      <c r="G19" s="4" t="s">
        <v>29</v>
      </c>
      <c r="H19" s="4">
        <v>0</v>
      </c>
      <c r="I19" s="4" t="s">
        <v>66</v>
      </c>
      <c r="J19" s="4" t="s">
        <v>60</v>
      </c>
      <c r="K19" s="4">
        <v>50</v>
      </c>
      <c r="L19" s="4"/>
      <c r="M19" s="4">
        <v>48</v>
      </c>
      <c r="N19" s="4"/>
      <c r="O19" s="4"/>
      <c r="P19" s="4"/>
      <c r="Q19" s="4"/>
      <c r="R19" s="4"/>
      <c r="S19" s="4"/>
      <c r="T19" s="4"/>
      <c r="U19" s="4"/>
      <c r="V19" s="4">
        <f t="shared" si="3"/>
        <v>98</v>
      </c>
      <c r="Z19" t="s">
        <v>452</v>
      </c>
      <c r="AA19" t="s">
        <v>453</v>
      </c>
      <c r="AB19" t="s">
        <v>454</v>
      </c>
      <c r="AC19">
        <v>921</v>
      </c>
      <c r="AD19">
        <v>0</v>
      </c>
      <c r="AE19">
        <v>10548</v>
      </c>
      <c r="AF19">
        <v>-9627</v>
      </c>
    </row>
    <row r="20" spans="1:32" x14ac:dyDescent="0.3">
      <c r="A20">
        <v>16</v>
      </c>
      <c r="B20" s="2">
        <f t="shared" si="2"/>
        <v>45902</v>
      </c>
      <c r="D20" s="4" t="s">
        <v>395</v>
      </c>
      <c r="E20" s="4" t="s">
        <v>172</v>
      </c>
      <c r="F20" s="4" t="s">
        <v>173</v>
      </c>
      <c r="G20" s="4" t="s">
        <v>29</v>
      </c>
      <c r="H20" s="4">
        <v>0</v>
      </c>
      <c r="I20" s="4" t="s">
        <v>174</v>
      </c>
      <c r="J20" s="4" t="s">
        <v>175</v>
      </c>
      <c r="K20" s="4">
        <v>10</v>
      </c>
      <c r="L20" s="4">
        <v>10</v>
      </c>
      <c r="M20" s="4">
        <v>30</v>
      </c>
      <c r="N20" s="4"/>
      <c r="O20" s="4"/>
      <c r="P20" s="4"/>
      <c r="Q20" s="4"/>
      <c r="R20" s="4"/>
      <c r="S20" s="4"/>
      <c r="T20" s="4"/>
      <c r="U20" s="4"/>
      <c r="V20" s="4">
        <f t="shared" si="3"/>
        <v>50</v>
      </c>
      <c r="Z20" t="s">
        <v>455</v>
      </c>
      <c r="AA20" t="s">
        <v>456</v>
      </c>
      <c r="AB20" t="s">
        <v>457</v>
      </c>
      <c r="AC20">
        <v>392</v>
      </c>
      <c r="AD20">
        <v>0</v>
      </c>
      <c r="AE20">
        <v>2201</v>
      </c>
      <c r="AF20">
        <v>-1809</v>
      </c>
    </row>
    <row r="21" spans="1:32" x14ac:dyDescent="0.3">
      <c r="A21">
        <v>17</v>
      </c>
      <c r="B21" s="2">
        <f t="shared" si="2"/>
        <v>45902</v>
      </c>
      <c r="D21" s="4" t="s">
        <v>396</v>
      </c>
      <c r="E21" s="4" t="s">
        <v>284</v>
      </c>
      <c r="F21" s="4" t="s">
        <v>285</v>
      </c>
      <c r="G21" s="4" t="s">
        <v>29</v>
      </c>
      <c r="H21" s="4">
        <v>0</v>
      </c>
      <c r="I21" s="4" t="s">
        <v>286</v>
      </c>
      <c r="J21" s="4" t="s">
        <v>51</v>
      </c>
      <c r="K21" s="4"/>
      <c r="L21" s="4"/>
      <c r="M21" s="4">
        <v>100</v>
      </c>
      <c r="N21" s="4"/>
      <c r="O21" s="4"/>
      <c r="P21" s="4"/>
      <c r="Q21" s="4"/>
      <c r="R21" s="4"/>
      <c r="S21" s="4"/>
      <c r="T21" s="4"/>
      <c r="U21" s="4"/>
      <c r="V21" s="4">
        <f t="shared" si="3"/>
        <v>100</v>
      </c>
      <c r="Z21" t="s">
        <v>458</v>
      </c>
      <c r="AA21" t="s">
        <v>459</v>
      </c>
      <c r="AB21" t="s">
        <v>460</v>
      </c>
      <c r="AC21">
        <v>886</v>
      </c>
      <c r="AD21">
        <v>0</v>
      </c>
      <c r="AE21">
        <v>1073</v>
      </c>
      <c r="AF21">
        <v>-187</v>
      </c>
    </row>
    <row r="22" spans="1:32" x14ac:dyDescent="0.3">
      <c r="A22">
        <v>18</v>
      </c>
      <c r="B22" s="2">
        <f t="shared" si="2"/>
        <v>45902</v>
      </c>
      <c r="D22" s="4" t="s">
        <v>397</v>
      </c>
      <c r="E22" s="4" t="s">
        <v>225</v>
      </c>
      <c r="F22" s="4" t="s">
        <v>226</v>
      </c>
      <c r="G22" s="4" t="s">
        <v>29</v>
      </c>
      <c r="H22" s="4">
        <v>0</v>
      </c>
      <c r="I22" s="4" t="s">
        <v>93</v>
      </c>
      <c r="J22" s="4" t="s">
        <v>93</v>
      </c>
      <c r="K22" s="4"/>
      <c r="L22" s="4"/>
      <c r="M22" s="4">
        <v>100</v>
      </c>
      <c r="N22" s="4"/>
      <c r="O22" s="4"/>
      <c r="P22" s="4"/>
      <c r="Q22" s="4"/>
      <c r="R22" s="4"/>
      <c r="S22" s="4"/>
      <c r="T22" s="4"/>
      <c r="U22" s="4"/>
      <c r="V22" s="4">
        <f t="shared" si="3"/>
        <v>100</v>
      </c>
      <c r="Z22" t="s">
        <v>461</v>
      </c>
      <c r="AA22" t="s">
        <v>462</v>
      </c>
      <c r="AB22" t="s">
        <v>463</v>
      </c>
      <c r="AC22">
        <v>1934</v>
      </c>
      <c r="AD22">
        <v>0</v>
      </c>
      <c r="AE22">
        <v>4072</v>
      </c>
      <c r="AF22">
        <v>-2138</v>
      </c>
    </row>
    <row r="23" spans="1:32" x14ac:dyDescent="0.3">
      <c r="A23">
        <v>19</v>
      </c>
      <c r="B23" s="2">
        <f t="shared" si="2"/>
        <v>45902</v>
      </c>
      <c r="D23" s="4" t="s">
        <v>398</v>
      </c>
      <c r="E23" s="4" t="s">
        <v>101</v>
      </c>
      <c r="F23" s="4" t="s">
        <v>102</v>
      </c>
      <c r="G23" s="4" t="s">
        <v>29</v>
      </c>
      <c r="H23" s="4">
        <v>0</v>
      </c>
      <c r="I23" s="4" t="s">
        <v>103</v>
      </c>
      <c r="J23" s="4" t="s">
        <v>104</v>
      </c>
      <c r="K23" s="4">
        <v>100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>
        <f t="shared" si="3"/>
        <v>100</v>
      </c>
      <c r="Z23" t="s">
        <v>464</v>
      </c>
      <c r="AA23" t="s">
        <v>465</v>
      </c>
      <c r="AB23" t="s">
        <v>466</v>
      </c>
      <c r="AC23">
        <v>1862</v>
      </c>
      <c r="AD23">
        <v>0</v>
      </c>
      <c r="AE23">
        <v>4415</v>
      </c>
      <c r="AF23">
        <v>-2553</v>
      </c>
    </row>
    <row r="24" spans="1:32" x14ac:dyDescent="0.3">
      <c r="A24">
        <v>20</v>
      </c>
      <c r="B24" s="2">
        <f t="shared" si="2"/>
        <v>45902</v>
      </c>
      <c r="D24" s="4" t="s">
        <v>399</v>
      </c>
      <c r="E24" s="4" t="s">
        <v>400</v>
      </c>
      <c r="F24" s="4" t="s">
        <v>401</v>
      </c>
      <c r="G24" s="4" t="s">
        <v>29</v>
      </c>
      <c r="H24" s="4">
        <v>0</v>
      </c>
      <c r="I24" s="4" t="s">
        <v>402</v>
      </c>
      <c r="J24" s="4" t="s">
        <v>60</v>
      </c>
      <c r="K24" s="4">
        <v>50</v>
      </c>
      <c r="L24" s="4">
        <v>50</v>
      </c>
      <c r="M24" s="4">
        <v>50</v>
      </c>
      <c r="N24" s="4"/>
      <c r="O24" s="4"/>
      <c r="P24" s="4">
        <v>25</v>
      </c>
      <c r="Q24" s="4"/>
      <c r="R24" s="4"/>
      <c r="S24" s="4"/>
      <c r="T24" s="4"/>
      <c r="U24" s="4"/>
      <c r="V24" s="4">
        <f t="shared" si="3"/>
        <v>175</v>
      </c>
      <c r="Z24" t="s">
        <v>467</v>
      </c>
      <c r="AA24" t="s">
        <v>468</v>
      </c>
      <c r="AB24" t="s">
        <v>469</v>
      </c>
      <c r="AC24">
        <v>627</v>
      </c>
      <c r="AD24">
        <v>0</v>
      </c>
      <c r="AE24">
        <v>1099</v>
      </c>
      <c r="AF24">
        <v>-472</v>
      </c>
    </row>
    <row r="25" spans="1:32" x14ac:dyDescent="0.3">
      <c r="A25">
        <v>21</v>
      </c>
      <c r="B25" s="2">
        <f t="shared" si="2"/>
        <v>45902</v>
      </c>
      <c r="D25" s="4" t="s">
        <v>403</v>
      </c>
      <c r="E25" s="4" t="s">
        <v>169</v>
      </c>
      <c r="F25" s="4" t="s">
        <v>170</v>
      </c>
      <c r="G25" s="4" t="s">
        <v>29</v>
      </c>
      <c r="H25" s="4">
        <v>0</v>
      </c>
      <c r="I25" s="4" t="s">
        <v>171</v>
      </c>
      <c r="J25" s="4" t="s">
        <v>57</v>
      </c>
      <c r="K25" s="4"/>
      <c r="L25" s="4"/>
      <c r="M25" s="4">
        <v>15</v>
      </c>
      <c r="N25" s="4"/>
      <c r="O25" s="4"/>
      <c r="P25" s="4">
        <v>30</v>
      </c>
      <c r="Q25" s="4"/>
      <c r="R25" s="4"/>
      <c r="S25" s="4"/>
      <c r="T25" s="4"/>
      <c r="U25" s="4"/>
      <c r="V25" s="4">
        <f t="shared" si="3"/>
        <v>45</v>
      </c>
      <c r="Z25" t="s">
        <v>470</v>
      </c>
      <c r="AA25" t="s">
        <v>471</v>
      </c>
      <c r="AB25" t="s">
        <v>472</v>
      </c>
      <c r="AC25">
        <v>5</v>
      </c>
      <c r="AD25">
        <v>0</v>
      </c>
      <c r="AE25">
        <v>0</v>
      </c>
      <c r="AF25">
        <v>5</v>
      </c>
    </row>
    <row r="26" spans="1:32" x14ac:dyDescent="0.3">
      <c r="A26">
        <v>22</v>
      </c>
      <c r="B26" s="2">
        <f t="shared" si="2"/>
        <v>45902</v>
      </c>
      <c r="D26" s="4" t="s">
        <v>404</v>
      </c>
      <c r="E26" s="4" t="s">
        <v>214</v>
      </c>
      <c r="F26" s="4" t="s">
        <v>215</v>
      </c>
      <c r="G26" s="4" t="s">
        <v>29</v>
      </c>
      <c r="H26" s="4">
        <v>0</v>
      </c>
      <c r="I26" s="4" t="s">
        <v>216</v>
      </c>
      <c r="J26" s="4" t="s">
        <v>217</v>
      </c>
      <c r="K26" s="4"/>
      <c r="L26" s="4">
        <v>20</v>
      </c>
      <c r="M26" s="4">
        <v>20</v>
      </c>
      <c r="N26" s="4"/>
      <c r="O26" s="4"/>
      <c r="P26" s="4">
        <v>10</v>
      </c>
      <c r="Q26" s="4"/>
      <c r="R26" s="4"/>
      <c r="S26" s="4"/>
      <c r="T26" s="4"/>
      <c r="U26" s="4"/>
      <c r="V26" s="4">
        <f t="shared" si="3"/>
        <v>50</v>
      </c>
      <c r="Z26" t="s">
        <v>473</v>
      </c>
      <c r="AA26" t="s">
        <v>474</v>
      </c>
      <c r="AB26" t="s">
        <v>475</v>
      </c>
      <c r="AC26">
        <v>0</v>
      </c>
      <c r="AD26">
        <v>0</v>
      </c>
      <c r="AE26">
        <v>145</v>
      </c>
      <c r="AF26">
        <v>-145</v>
      </c>
    </row>
    <row r="27" spans="1:32" x14ac:dyDescent="0.3">
      <c r="A27">
        <v>23</v>
      </c>
      <c r="B27" s="2">
        <f t="shared" si="2"/>
        <v>45902</v>
      </c>
      <c r="D27" s="4" t="s">
        <v>405</v>
      </c>
      <c r="E27" s="4" t="s">
        <v>224</v>
      </c>
      <c r="F27" s="4" t="s">
        <v>135</v>
      </c>
      <c r="G27" s="4" t="s">
        <v>30</v>
      </c>
      <c r="H27" s="4">
        <v>0</v>
      </c>
      <c r="I27" s="4" t="s">
        <v>136</v>
      </c>
      <c r="J27" s="4" t="s">
        <v>53</v>
      </c>
      <c r="K27" s="4"/>
      <c r="L27" s="4"/>
      <c r="M27" s="4"/>
      <c r="N27" s="4">
        <v>167</v>
      </c>
      <c r="O27" s="4">
        <v>126</v>
      </c>
      <c r="P27" s="4">
        <v>15</v>
      </c>
      <c r="Q27" s="4"/>
      <c r="R27" s="4"/>
      <c r="S27" s="4"/>
      <c r="T27" s="4"/>
      <c r="U27" s="4"/>
      <c r="V27" s="4">
        <f t="shared" si="3"/>
        <v>308</v>
      </c>
      <c r="Z27" t="s">
        <v>476</v>
      </c>
      <c r="AA27" t="s">
        <v>477</v>
      </c>
      <c r="AB27" t="s">
        <v>478</v>
      </c>
      <c r="AC27">
        <v>0</v>
      </c>
      <c r="AD27">
        <v>0</v>
      </c>
      <c r="AE27">
        <v>440</v>
      </c>
      <c r="AF27">
        <v>-440</v>
      </c>
    </row>
    <row r="28" spans="1:32" x14ac:dyDescent="0.3">
      <c r="A28">
        <v>24</v>
      </c>
      <c r="B28" s="2">
        <f t="shared" si="2"/>
        <v>45902</v>
      </c>
      <c r="D28" s="4" t="s">
        <v>406</v>
      </c>
      <c r="E28" s="4" t="s">
        <v>90</v>
      </c>
      <c r="F28" s="4" t="s">
        <v>91</v>
      </c>
      <c r="G28" s="4" t="s">
        <v>30</v>
      </c>
      <c r="H28" s="4">
        <v>0</v>
      </c>
      <c r="I28" s="4" t="s">
        <v>92</v>
      </c>
      <c r="J28" s="4" t="s">
        <v>93</v>
      </c>
      <c r="K28" s="4"/>
      <c r="L28" s="4"/>
      <c r="M28" s="4"/>
      <c r="N28" s="4">
        <v>71</v>
      </c>
      <c r="O28" s="4">
        <v>72</v>
      </c>
      <c r="P28" s="4">
        <v>16</v>
      </c>
      <c r="Q28" s="4"/>
      <c r="R28" s="4"/>
      <c r="S28" s="4"/>
      <c r="T28" s="4"/>
      <c r="U28" s="4"/>
      <c r="V28" s="4">
        <f t="shared" si="3"/>
        <v>159</v>
      </c>
      <c r="Z28" t="s">
        <v>479</v>
      </c>
      <c r="AA28" t="s">
        <v>480</v>
      </c>
      <c r="AB28" t="s">
        <v>481</v>
      </c>
      <c r="AC28">
        <v>5</v>
      </c>
      <c r="AD28">
        <v>0</v>
      </c>
      <c r="AE28">
        <v>586</v>
      </c>
      <c r="AF28">
        <v>-581</v>
      </c>
    </row>
    <row r="29" spans="1:32" x14ac:dyDescent="0.3">
      <c r="A29">
        <v>25</v>
      </c>
      <c r="B29" s="2">
        <f t="shared" si="2"/>
        <v>45902</v>
      </c>
      <c r="D29" s="4" t="s">
        <v>407</v>
      </c>
      <c r="E29" s="4" t="s">
        <v>179</v>
      </c>
      <c r="F29" s="4" t="s">
        <v>180</v>
      </c>
      <c r="G29" s="4" t="s">
        <v>30</v>
      </c>
      <c r="H29" s="4">
        <v>0</v>
      </c>
      <c r="I29" s="4" t="s">
        <v>40</v>
      </c>
      <c r="J29" s="4" t="s">
        <v>40</v>
      </c>
      <c r="K29" s="4"/>
      <c r="L29" s="4"/>
      <c r="M29" s="4"/>
      <c r="N29" s="4">
        <v>88</v>
      </c>
      <c r="O29" s="4">
        <v>110</v>
      </c>
      <c r="P29" s="4">
        <v>17</v>
      </c>
      <c r="Q29" s="4"/>
      <c r="R29" s="4"/>
      <c r="S29" s="4"/>
      <c r="T29" s="4"/>
      <c r="U29" s="4"/>
      <c r="V29" s="4">
        <f t="shared" si="3"/>
        <v>215</v>
      </c>
      <c r="Z29" t="s">
        <v>482</v>
      </c>
      <c r="AA29" t="s">
        <v>483</v>
      </c>
      <c r="AB29" t="s">
        <v>484</v>
      </c>
      <c r="AC29">
        <v>5</v>
      </c>
      <c r="AD29">
        <v>0</v>
      </c>
      <c r="AE29">
        <v>250</v>
      </c>
      <c r="AF29">
        <v>-245</v>
      </c>
    </row>
    <row r="30" spans="1:32" x14ac:dyDescent="0.3">
      <c r="A30">
        <v>26</v>
      </c>
      <c r="B30" s="2">
        <f t="shared" si="2"/>
        <v>45902</v>
      </c>
      <c r="D30" s="4" t="s">
        <v>408</v>
      </c>
      <c r="E30" s="4" t="s">
        <v>6</v>
      </c>
      <c r="F30" s="4" t="s">
        <v>17</v>
      </c>
      <c r="G30" s="4" t="s">
        <v>30</v>
      </c>
      <c r="H30" s="4">
        <v>0</v>
      </c>
      <c r="I30" s="4" t="s">
        <v>39</v>
      </c>
      <c r="J30" s="4" t="s">
        <v>40</v>
      </c>
      <c r="K30" s="4"/>
      <c r="L30" s="4"/>
      <c r="M30" s="4"/>
      <c r="N30" s="4">
        <v>64</v>
      </c>
      <c r="O30" s="4">
        <v>61</v>
      </c>
      <c r="P30" s="4">
        <v>40</v>
      </c>
      <c r="Q30" s="4"/>
      <c r="R30" s="4"/>
      <c r="S30" s="4"/>
      <c r="T30" s="4"/>
      <c r="U30" s="4"/>
      <c r="V30" s="4">
        <f t="shared" si="3"/>
        <v>165</v>
      </c>
      <c r="W30" s="23"/>
    </row>
    <row r="31" spans="1:32" x14ac:dyDescent="0.3">
      <c r="A31">
        <v>27</v>
      </c>
      <c r="B31" s="2">
        <f t="shared" si="2"/>
        <v>45902</v>
      </c>
      <c r="D31" s="4" t="s">
        <v>409</v>
      </c>
      <c r="E31" s="4" t="s">
        <v>70</v>
      </c>
      <c r="F31" s="4" t="s">
        <v>71</v>
      </c>
      <c r="G31" s="4" t="s">
        <v>30</v>
      </c>
      <c r="H31" s="4">
        <v>0</v>
      </c>
      <c r="I31" s="4" t="s">
        <v>72</v>
      </c>
      <c r="J31" s="4" t="s">
        <v>55</v>
      </c>
      <c r="K31" s="4"/>
      <c r="L31" s="4"/>
      <c r="M31" s="4"/>
      <c r="N31" s="4">
        <v>63</v>
      </c>
      <c r="O31" s="4">
        <v>70</v>
      </c>
      <c r="P31" s="4">
        <v>16</v>
      </c>
      <c r="Q31" s="4"/>
      <c r="R31" s="4"/>
      <c r="S31" s="4"/>
      <c r="T31" s="4"/>
      <c r="U31" s="4"/>
      <c r="V31" s="4">
        <f t="shared" si="3"/>
        <v>149</v>
      </c>
    </row>
    <row r="32" spans="1:32" x14ac:dyDescent="0.3">
      <c r="A32">
        <v>28</v>
      </c>
      <c r="B32" s="2">
        <f t="shared" si="2"/>
        <v>45902</v>
      </c>
      <c r="D32" s="4" t="s">
        <v>410</v>
      </c>
      <c r="E32" s="4" t="s">
        <v>300</v>
      </c>
      <c r="F32" s="4" t="s">
        <v>301</v>
      </c>
      <c r="G32" s="4" t="s">
        <v>30</v>
      </c>
      <c r="H32" s="4">
        <v>0</v>
      </c>
      <c r="I32" s="4" t="s">
        <v>302</v>
      </c>
      <c r="J32" s="4" t="s">
        <v>60</v>
      </c>
      <c r="K32" s="4"/>
      <c r="L32" s="4"/>
      <c r="M32" s="4"/>
      <c r="N32" s="4">
        <v>109</v>
      </c>
      <c r="O32" s="4">
        <v>117</v>
      </c>
      <c r="P32" s="4">
        <v>21</v>
      </c>
      <c r="Q32" s="4"/>
      <c r="R32" s="4"/>
      <c r="S32" s="4"/>
      <c r="T32" s="4"/>
      <c r="U32" s="4"/>
      <c r="V32" s="4">
        <f t="shared" si="3"/>
        <v>247</v>
      </c>
    </row>
    <row r="33" spans="1:22" x14ac:dyDescent="0.3">
      <c r="A33">
        <v>29</v>
      </c>
      <c r="B33" s="2">
        <f t="shared" si="2"/>
        <v>45902</v>
      </c>
      <c r="D33" s="4" t="s">
        <v>411</v>
      </c>
      <c r="E33" s="4" t="s">
        <v>192</v>
      </c>
      <c r="F33" s="4" t="s">
        <v>193</v>
      </c>
      <c r="G33" s="4" t="s">
        <v>30</v>
      </c>
      <c r="H33" s="4">
        <v>0</v>
      </c>
      <c r="I33" s="4" t="s">
        <v>194</v>
      </c>
      <c r="J33" s="4" t="s">
        <v>50</v>
      </c>
      <c r="K33" s="4"/>
      <c r="L33" s="4"/>
      <c r="M33" s="4"/>
      <c r="N33" s="4">
        <v>59</v>
      </c>
      <c r="O33" s="4">
        <v>86</v>
      </c>
      <c r="P33" s="4">
        <v>19</v>
      </c>
      <c r="Q33" s="4"/>
      <c r="R33" s="4"/>
      <c r="S33" s="4"/>
      <c r="T33" s="4"/>
      <c r="U33" s="4"/>
      <c r="V33" s="4">
        <f t="shared" si="3"/>
        <v>164</v>
      </c>
    </row>
    <row r="34" spans="1:22" x14ac:dyDescent="0.3">
      <c r="A34">
        <v>30</v>
      </c>
      <c r="B34" s="2">
        <f t="shared" si="2"/>
        <v>45902</v>
      </c>
      <c r="D34" s="4" t="s">
        <v>412</v>
      </c>
      <c r="E34" s="4" t="s">
        <v>137</v>
      </c>
      <c r="F34" s="4" t="s">
        <v>138</v>
      </c>
      <c r="G34" s="4" t="s">
        <v>30</v>
      </c>
      <c r="H34" s="4">
        <v>0</v>
      </c>
      <c r="I34" s="4" t="s">
        <v>139</v>
      </c>
      <c r="J34" s="4" t="s">
        <v>50</v>
      </c>
      <c r="K34" s="4"/>
      <c r="L34" s="4"/>
      <c r="M34" s="4"/>
      <c r="N34" s="4">
        <v>76</v>
      </c>
      <c r="O34" s="4">
        <v>89</v>
      </c>
      <c r="P34" s="4">
        <v>17</v>
      </c>
      <c r="Q34" s="4"/>
      <c r="R34" s="4"/>
      <c r="S34" s="4"/>
      <c r="T34" s="4"/>
      <c r="U34" s="4"/>
      <c r="V34" s="4">
        <f t="shared" si="3"/>
        <v>182</v>
      </c>
    </row>
    <row r="35" spans="1:22" x14ac:dyDescent="0.3">
      <c r="A35">
        <v>31</v>
      </c>
      <c r="B35" s="2">
        <f t="shared" si="2"/>
        <v>45902</v>
      </c>
      <c r="D35" s="4" t="s">
        <v>413</v>
      </c>
      <c r="E35" s="4" t="s">
        <v>13</v>
      </c>
      <c r="F35" s="4" t="s">
        <v>25</v>
      </c>
      <c r="G35" s="4" t="s">
        <v>30</v>
      </c>
      <c r="H35" s="4">
        <v>0</v>
      </c>
      <c r="I35" s="4" t="s">
        <v>48</v>
      </c>
      <c r="J35" s="4" t="s">
        <v>50</v>
      </c>
      <c r="K35" s="4"/>
      <c r="L35" s="4"/>
      <c r="M35" s="4"/>
      <c r="N35" s="4">
        <v>55</v>
      </c>
      <c r="O35" s="4">
        <v>84</v>
      </c>
      <c r="P35" s="4">
        <v>10</v>
      </c>
      <c r="Q35" s="4"/>
      <c r="R35" s="4"/>
      <c r="S35" s="4"/>
      <c r="T35" s="4"/>
      <c r="U35" s="4"/>
      <c r="V35" s="4">
        <f t="shared" si="3"/>
        <v>149</v>
      </c>
    </row>
    <row r="36" spans="1:22" x14ac:dyDescent="0.3">
      <c r="A36">
        <v>32</v>
      </c>
      <c r="B36" s="2">
        <f t="shared" si="2"/>
        <v>45902</v>
      </c>
      <c r="D36" s="4" t="s">
        <v>414</v>
      </c>
      <c r="E36" s="4" t="s">
        <v>143</v>
      </c>
      <c r="F36" s="4" t="s">
        <v>144</v>
      </c>
      <c r="G36" s="4" t="s">
        <v>30</v>
      </c>
      <c r="H36" s="4">
        <v>0</v>
      </c>
      <c r="I36" s="4" t="s">
        <v>67</v>
      </c>
      <c r="J36" s="4" t="s">
        <v>50</v>
      </c>
      <c r="K36" s="4"/>
      <c r="L36" s="4"/>
      <c r="M36" s="4"/>
      <c r="N36" s="4">
        <v>96</v>
      </c>
      <c r="O36" s="4">
        <v>120</v>
      </c>
      <c r="P36" s="4">
        <v>16</v>
      </c>
      <c r="Q36" s="4"/>
      <c r="R36" s="4"/>
      <c r="S36" s="4"/>
      <c r="T36" s="4"/>
      <c r="U36" s="4"/>
      <c r="V36" s="4">
        <f t="shared" si="3"/>
        <v>232</v>
      </c>
    </row>
    <row r="37" spans="1:22" x14ac:dyDescent="0.3">
      <c r="A37">
        <v>33</v>
      </c>
      <c r="B37" s="2">
        <f t="shared" si="2"/>
        <v>45902</v>
      </c>
      <c r="D37" s="4" t="s">
        <v>415</v>
      </c>
      <c r="E37" s="4" t="s">
        <v>239</v>
      </c>
      <c r="F37" s="4" t="s">
        <v>240</v>
      </c>
      <c r="G37" s="4" t="s">
        <v>30</v>
      </c>
      <c r="H37" s="4">
        <v>0</v>
      </c>
      <c r="I37" s="4" t="s">
        <v>241</v>
      </c>
      <c r="J37" s="4" t="s">
        <v>50</v>
      </c>
      <c r="K37" s="4"/>
      <c r="L37" s="4"/>
      <c r="M37" s="4"/>
      <c r="N37" s="4">
        <v>116</v>
      </c>
      <c r="O37" s="4">
        <v>76</v>
      </c>
      <c r="P37" s="4">
        <v>22</v>
      </c>
      <c r="Q37" s="4"/>
      <c r="R37" s="4"/>
      <c r="S37" s="4"/>
      <c r="T37" s="4"/>
      <c r="U37" s="4"/>
      <c r="V37" s="4">
        <f t="shared" si="3"/>
        <v>214</v>
      </c>
    </row>
    <row r="38" spans="1:22" x14ac:dyDescent="0.3">
      <c r="A38">
        <v>34</v>
      </c>
      <c r="B38" s="2">
        <f t="shared" si="2"/>
        <v>45902</v>
      </c>
      <c r="D38" s="4" t="s">
        <v>416</v>
      </c>
      <c r="E38" s="4" t="s">
        <v>140</v>
      </c>
      <c r="F38" s="4" t="s">
        <v>141</v>
      </c>
      <c r="G38" s="4" t="s">
        <v>30</v>
      </c>
      <c r="H38" s="4">
        <v>0</v>
      </c>
      <c r="I38" s="4" t="s">
        <v>142</v>
      </c>
      <c r="J38" s="4" t="s">
        <v>50</v>
      </c>
      <c r="K38" s="4"/>
      <c r="L38" s="4"/>
      <c r="M38" s="4"/>
      <c r="N38" s="4">
        <v>49</v>
      </c>
      <c r="O38" s="4">
        <v>68</v>
      </c>
      <c r="P38" s="4">
        <v>11</v>
      </c>
      <c r="Q38" s="4"/>
      <c r="R38" s="4"/>
      <c r="S38" s="4"/>
      <c r="T38" s="4"/>
      <c r="U38" s="4"/>
      <c r="V38" s="4">
        <f t="shared" si="3"/>
        <v>128</v>
      </c>
    </row>
    <row r="39" spans="1:22" x14ac:dyDescent="0.3">
      <c r="A39">
        <v>35</v>
      </c>
      <c r="B39" s="2">
        <f t="shared" si="2"/>
        <v>45902</v>
      </c>
      <c r="D39" s="4" t="s">
        <v>417</v>
      </c>
      <c r="E39" s="4" t="s">
        <v>195</v>
      </c>
      <c r="F39" s="4" t="s">
        <v>196</v>
      </c>
      <c r="G39" s="4" t="s">
        <v>30</v>
      </c>
      <c r="H39" s="4">
        <v>0</v>
      </c>
      <c r="I39" s="4" t="s">
        <v>197</v>
      </c>
      <c r="J39" s="4" t="s">
        <v>55</v>
      </c>
      <c r="K39" s="4"/>
      <c r="L39" s="4"/>
      <c r="M39" s="4"/>
      <c r="N39" s="4">
        <v>61</v>
      </c>
      <c r="O39" s="4">
        <v>59</v>
      </c>
      <c r="P39" s="4">
        <v>9</v>
      </c>
      <c r="Q39" s="4"/>
      <c r="R39" s="4"/>
      <c r="S39" s="4"/>
      <c r="T39" s="4"/>
      <c r="U39" s="4"/>
      <c r="V39" s="4">
        <f t="shared" si="3"/>
        <v>129</v>
      </c>
    </row>
    <row r="40" spans="1:22" x14ac:dyDescent="0.3">
      <c r="A40">
        <v>36</v>
      </c>
      <c r="B40" s="2">
        <f t="shared" si="2"/>
        <v>45902</v>
      </c>
      <c r="D40" s="4" t="s">
        <v>418</v>
      </c>
      <c r="E40" s="4" t="s">
        <v>5</v>
      </c>
      <c r="F40" s="4" t="s">
        <v>16</v>
      </c>
      <c r="G40" s="4" t="s">
        <v>30</v>
      </c>
      <c r="H40" s="4">
        <v>0</v>
      </c>
      <c r="I40" s="4" t="s">
        <v>38</v>
      </c>
      <c r="J40" s="4" t="s">
        <v>50</v>
      </c>
      <c r="K40" s="4"/>
      <c r="L40" s="4"/>
      <c r="M40" s="4"/>
      <c r="N40" s="4">
        <v>62</v>
      </c>
      <c r="O40" s="4">
        <v>85</v>
      </c>
      <c r="P40" s="4">
        <v>17</v>
      </c>
      <c r="Q40" s="4"/>
      <c r="R40" s="4"/>
      <c r="S40" s="4"/>
      <c r="T40" s="4"/>
      <c r="U40" s="4"/>
      <c r="V40" s="4">
        <f t="shared" si="3"/>
        <v>164</v>
      </c>
    </row>
    <row r="41" spans="1:22" x14ac:dyDescent="0.3">
      <c r="A41">
        <v>37</v>
      </c>
      <c r="B41" s="2">
        <f t="shared" si="2"/>
        <v>45902</v>
      </c>
      <c r="D41" s="4" t="s">
        <v>419</v>
      </c>
      <c r="E41" s="4" t="s">
        <v>7</v>
      </c>
      <c r="F41" s="4" t="s">
        <v>18</v>
      </c>
      <c r="G41" s="4" t="s">
        <v>30</v>
      </c>
      <c r="H41" s="4">
        <v>0</v>
      </c>
      <c r="I41" s="4" t="s">
        <v>41</v>
      </c>
      <c r="J41" s="4" t="s">
        <v>56</v>
      </c>
      <c r="K41" s="4"/>
      <c r="L41" s="4"/>
      <c r="M41" s="4"/>
      <c r="N41" s="4">
        <v>25</v>
      </c>
      <c r="O41" s="4">
        <v>54</v>
      </c>
      <c r="P41" s="4">
        <v>6</v>
      </c>
      <c r="Q41" s="4"/>
      <c r="R41" s="4"/>
      <c r="S41" s="4"/>
      <c r="T41" s="4"/>
      <c r="U41" s="4"/>
      <c r="V41" s="4">
        <f t="shared" si="3"/>
        <v>85</v>
      </c>
    </row>
    <row r="42" spans="1:22" x14ac:dyDescent="0.3">
      <c r="A42">
        <v>38</v>
      </c>
      <c r="B42" s="2">
        <f t="shared" si="2"/>
        <v>45902</v>
      </c>
      <c r="D42" s="4" t="s">
        <v>420</v>
      </c>
      <c r="E42" s="4" t="s">
        <v>10</v>
      </c>
      <c r="F42" s="4" t="s">
        <v>21</v>
      </c>
      <c r="G42" s="4" t="s">
        <v>30</v>
      </c>
      <c r="H42" s="4">
        <v>0</v>
      </c>
      <c r="I42" s="4" t="s">
        <v>44</v>
      </c>
      <c r="J42" s="4" t="s">
        <v>58</v>
      </c>
      <c r="K42" s="4"/>
      <c r="L42" s="4"/>
      <c r="M42" s="4"/>
      <c r="N42" s="4">
        <v>54</v>
      </c>
      <c r="O42" s="4">
        <v>32</v>
      </c>
      <c r="P42" s="4">
        <v>18</v>
      </c>
      <c r="Q42" s="4"/>
      <c r="R42" s="4"/>
      <c r="S42" s="4"/>
      <c r="T42" s="4"/>
      <c r="U42" s="4"/>
      <c r="V42" s="4">
        <f t="shared" si="3"/>
        <v>104</v>
      </c>
    </row>
    <row r="43" spans="1:22" x14ac:dyDescent="0.3">
      <c r="A43">
        <v>39</v>
      </c>
      <c r="B43" s="2">
        <f t="shared" si="2"/>
        <v>45902</v>
      </c>
      <c r="D43" s="4" t="s">
        <v>421</v>
      </c>
      <c r="E43" s="4" t="s">
        <v>9</v>
      </c>
      <c r="F43" s="4" t="s">
        <v>20</v>
      </c>
      <c r="G43" s="4" t="s">
        <v>30</v>
      </c>
      <c r="H43" s="4">
        <v>0</v>
      </c>
      <c r="I43" s="4" t="s">
        <v>43</v>
      </c>
      <c r="J43" s="4" t="s">
        <v>57</v>
      </c>
      <c r="K43" s="4"/>
      <c r="L43" s="4"/>
      <c r="M43" s="4"/>
      <c r="N43" s="4">
        <v>30</v>
      </c>
      <c r="O43" s="4">
        <v>95</v>
      </c>
      <c r="P43" s="4">
        <v>6</v>
      </c>
      <c r="Q43" s="4"/>
      <c r="R43" s="4"/>
      <c r="S43" s="4"/>
      <c r="T43" s="4"/>
      <c r="U43" s="4"/>
      <c r="V43" s="4">
        <f t="shared" si="3"/>
        <v>131</v>
      </c>
    </row>
    <row r="44" spans="1:22" x14ac:dyDescent="0.3">
      <c r="A44">
        <v>40</v>
      </c>
      <c r="B44" s="2">
        <f t="shared" si="2"/>
        <v>45902</v>
      </c>
      <c r="D44" s="4" t="s">
        <v>422</v>
      </c>
      <c r="E44" s="4" t="s">
        <v>12</v>
      </c>
      <c r="F44" s="4" t="s">
        <v>23</v>
      </c>
      <c r="G44" s="4" t="s">
        <v>30</v>
      </c>
      <c r="H44" s="4">
        <v>0</v>
      </c>
      <c r="I44" s="4" t="s">
        <v>46</v>
      </c>
      <c r="J44" s="4" t="s">
        <v>52</v>
      </c>
      <c r="K44" s="4"/>
      <c r="L44" s="4"/>
      <c r="M44" s="4"/>
      <c r="N44" s="4">
        <v>33</v>
      </c>
      <c r="O44" s="4">
        <v>80</v>
      </c>
      <c r="P44" s="4">
        <v>9</v>
      </c>
      <c r="Q44" s="4"/>
      <c r="R44" s="4"/>
      <c r="S44" s="4"/>
      <c r="T44" s="4"/>
      <c r="U44" s="4"/>
      <c r="V44" s="4">
        <f t="shared" si="3"/>
        <v>122</v>
      </c>
    </row>
    <row r="45" spans="1:22" x14ac:dyDescent="0.3">
      <c r="A45">
        <v>41</v>
      </c>
      <c r="B45" s="2">
        <f t="shared" si="2"/>
        <v>45902</v>
      </c>
      <c r="D45" s="4" t="s">
        <v>423</v>
      </c>
      <c r="E45" s="4" t="s">
        <v>8</v>
      </c>
      <c r="F45" s="4" t="s">
        <v>19</v>
      </c>
      <c r="G45" s="4" t="s">
        <v>30</v>
      </c>
      <c r="H45" s="4">
        <v>0</v>
      </c>
      <c r="I45" s="4" t="s">
        <v>42</v>
      </c>
      <c r="J45" s="4" t="s">
        <v>57</v>
      </c>
      <c r="K45" s="4"/>
      <c r="L45" s="4"/>
      <c r="M45" s="4"/>
      <c r="N45" s="4">
        <v>30</v>
      </c>
      <c r="O45" s="4">
        <v>74</v>
      </c>
      <c r="P45" s="4">
        <v>10</v>
      </c>
      <c r="Q45" s="4"/>
      <c r="R45" s="4"/>
      <c r="S45" s="4"/>
      <c r="T45" s="4"/>
      <c r="U45" s="4"/>
      <c r="V45" s="4">
        <f t="shared" si="3"/>
        <v>114</v>
      </c>
    </row>
    <row r="46" spans="1:22" x14ac:dyDescent="0.3">
      <c r="A46">
        <v>42</v>
      </c>
      <c r="B46" s="2">
        <f t="shared" si="2"/>
        <v>45902</v>
      </c>
      <c r="D46" s="4" t="s">
        <v>424</v>
      </c>
      <c r="E46" s="4" t="s">
        <v>11</v>
      </c>
      <c r="F46" s="4" t="s">
        <v>22</v>
      </c>
      <c r="G46" s="4" t="s">
        <v>30</v>
      </c>
      <c r="H46" s="4">
        <v>0</v>
      </c>
      <c r="I46" s="4" t="s">
        <v>45</v>
      </c>
      <c r="J46" s="4" t="s">
        <v>59</v>
      </c>
      <c r="K46" s="4"/>
      <c r="L46" s="4"/>
      <c r="M46" s="4"/>
      <c r="N46" s="4">
        <v>31</v>
      </c>
      <c r="O46" s="4">
        <v>47</v>
      </c>
      <c r="P46" s="4">
        <v>7</v>
      </c>
      <c r="Q46" s="4"/>
      <c r="R46" s="4"/>
      <c r="S46" s="4"/>
      <c r="T46" s="4"/>
      <c r="U46" s="4"/>
      <c r="V46" s="4">
        <f t="shared" si="3"/>
        <v>85</v>
      </c>
    </row>
    <row r="47" spans="1:22" x14ac:dyDescent="0.3">
      <c r="A47">
        <v>43</v>
      </c>
      <c r="B47" s="2">
        <f t="shared" si="2"/>
        <v>45902</v>
      </c>
      <c r="D47" s="4" t="s">
        <v>425</v>
      </c>
      <c r="E47" s="4" t="s">
        <v>111</v>
      </c>
      <c r="F47" s="4" t="s">
        <v>112</v>
      </c>
      <c r="G47" s="4" t="s">
        <v>30</v>
      </c>
      <c r="H47" s="4">
        <v>0</v>
      </c>
      <c r="I47" s="4" t="s">
        <v>55</v>
      </c>
      <c r="J47" s="4" t="s">
        <v>55</v>
      </c>
      <c r="K47" s="4"/>
      <c r="L47" s="4">
        <v>4</v>
      </c>
      <c r="M47" s="4"/>
      <c r="N47" s="4">
        <v>16</v>
      </c>
      <c r="O47" s="4">
        <v>15</v>
      </c>
      <c r="P47" s="4"/>
      <c r="Q47" s="4"/>
      <c r="R47" s="4"/>
      <c r="S47" s="4"/>
      <c r="T47" s="4"/>
      <c r="U47" s="4"/>
      <c r="V47" s="4">
        <f t="shared" si="3"/>
        <v>35</v>
      </c>
    </row>
    <row r="48" spans="1:22" x14ac:dyDescent="0.3">
      <c r="A48">
        <v>44</v>
      </c>
      <c r="B48" s="2">
        <f t="shared" si="2"/>
        <v>45902</v>
      </c>
      <c r="D48" s="4" t="s">
        <v>426</v>
      </c>
      <c r="E48" s="4" t="s">
        <v>113</v>
      </c>
      <c r="F48" s="4" t="s">
        <v>114</v>
      </c>
      <c r="G48" s="4" t="s">
        <v>30</v>
      </c>
      <c r="H48" s="4">
        <v>0</v>
      </c>
      <c r="I48" s="4" t="s">
        <v>54</v>
      </c>
      <c r="J48" s="4" t="s">
        <v>54</v>
      </c>
      <c r="K48" s="4">
        <v>1</v>
      </c>
      <c r="L48" s="4">
        <v>3</v>
      </c>
      <c r="M48" s="4"/>
      <c r="N48" s="4">
        <v>31</v>
      </c>
      <c r="O48" s="4">
        <v>22</v>
      </c>
      <c r="P48" s="4"/>
      <c r="Q48" s="4"/>
      <c r="R48" s="4"/>
      <c r="S48" s="4"/>
      <c r="T48" s="4"/>
      <c r="U48" s="4"/>
      <c r="V48" s="4">
        <f t="shared" si="3"/>
        <v>57</v>
      </c>
    </row>
    <row r="49" spans="1:23" x14ac:dyDescent="0.3">
      <c r="A49">
        <v>45</v>
      </c>
      <c r="B49" s="2">
        <f t="shared" si="2"/>
        <v>45902</v>
      </c>
      <c r="D49" s="4" t="s">
        <v>427</v>
      </c>
      <c r="E49" s="4" t="s">
        <v>115</v>
      </c>
      <c r="F49" s="4" t="s">
        <v>116</v>
      </c>
      <c r="G49" s="4" t="s">
        <v>30</v>
      </c>
      <c r="H49" s="4">
        <v>0</v>
      </c>
      <c r="I49" s="4" t="s">
        <v>36</v>
      </c>
      <c r="J49" s="4" t="s">
        <v>37</v>
      </c>
      <c r="K49" s="4"/>
      <c r="L49" s="4"/>
      <c r="M49" s="4"/>
      <c r="N49" s="4">
        <v>154</v>
      </c>
      <c r="O49" s="4"/>
      <c r="P49" s="4"/>
      <c r="Q49" s="4"/>
      <c r="R49" s="4"/>
      <c r="S49" s="4"/>
      <c r="T49" s="4"/>
      <c r="U49" s="4"/>
      <c r="V49" s="4">
        <f t="shared" si="3"/>
        <v>154</v>
      </c>
    </row>
    <row r="50" spans="1:23" x14ac:dyDescent="0.3">
      <c r="A50">
        <v>46</v>
      </c>
      <c r="B50" s="2">
        <f t="shared" si="2"/>
        <v>45902</v>
      </c>
      <c r="D50" s="4" t="s">
        <v>428</v>
      </c>
      <c r="E50" s="4" t="s">
        <v>117</v>
      </c>
      <c r="F50" s="4" t="s">
        <v>118</v>
      </c>
      <c r="G50" s="4" t="s">
        <v>30</v>
      </c>
      <c r="H50" s="4">
        <v>0</v>
      </c>
      <c r="I50" s="4" t="s">
        <v>119</v>
      </c>
      <c r="J50" s="4" t="s">
        <v>37</v>
      </c>
      <c r="K50" s="4"/>
      <c r="L50" s="4"/>
      <c r="M50" s="4"/>
      <c r="N50" s="4">
        <v>154</v>
      </c>
      <c r="O50" s="4"/>
      <c r="P50" s="4"/>
      <c r="Q50" s="4"/>
      <c r="R50" s="4"/>
      <c r="S50" s="4"/>
      <c r="T50" s="4"/>
      <c r="U50" s="4"/>
      <c r="V50" s="4">
        <f t="shared" si="3"/>
        <v>154</v>
      </c>
    </row>
    <row r="51" spans="1:23" x14ac:dyDescent="0.3">
      <c r="A51">
        <v>47</v>
      </c>
      <c r="B51" s="2">
        <f t="shared" si="2"/>
        <v>45902</v>
      </c>
      <c r="D51" s="4" t="s">
        <v>429</v>
      </c>
      <c r="E51" s="4" t="s">
        <v>152</v>
      </c>
      <c r="F51" s="4" t="s">
        <v>153</v>
      </c>
      <c r="G51" s="4" t="s">
        <v>32</v>
      </c>
      <c r="H51" s="4">
        <v>0</v>
      </c>
      <c r="I51" s="4" t="s">
        <v>123</v>
      </c>
      <c r="J51" s="4" t="s">
        <v>55</v>
      </c>
      <c r="K51" s="4">
        <v>30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>
        <f t="shared" si="3"/>
        <v>30</v>
      </c>
    </row>
    <row r="52" spans="1:23" x14ac:dyDescent="0.3">
      <c r="A52">
        <v>48</v>
      </c>
      <c r="B52" s="2">
        <f t="shared" si="2"/>
        <v>45902</v>
      </c>
      <c r="D52" s="4" t="s">
        <v>430</v>
      </c>
      <c r="E52" s="4" t="s">
        <v>431</v>
      </c>
      <c r="F52" s="4" t="s">
        <v>432</v>
      </c>
      <c r="G52" s="4" t="s">
        <v>32</v>
      </c>
      <c r="H52" s="4">
        <v>0</v>
      </c>
      <c r="I52" s="4" t="s">
        <v>433</v>
      </c>
      <c r="J52" s="4" t="s">
        <v>50</v>
      </c>
      <c r="K52" s="4">
        <v>30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>
        <f t="shared" si="3"/>
        <v>30</v>
      </c>
      <c r="W52" s="23"/>
    </row>
    <row r="53" spans="1:23" x14ac:dyDescent="0.3">
      <c r="A53">
        <v>49</v>
      </c>
      <c r="B53" s="2">
        <f t="shared" si="2"/>
        <v>45902</v>
      </c>
      <c r="D53" s="4" t="s">
        <v>434</v>
      </c>
      <c r="E53" s="4" t="s">
        <v>287</v>
      </c>
      <c r="F53" s="4" t="s">
        <v>288</v>
      </c>
      <c r="G53" s="4" t="s">
        <v>31</v>
      </c>
      <c r="H53" s="4" t="s">
        <v>34</v>
      </c>
      <c r="I53" s="4" t="s">
        <v>176</v>
      </c>
      <c r="J53" s="4" t="s">
        <v>37</v>
      </c>
      <c r="K53" s="4">
        <v>5</v>
      </c>
      <c r="L53" s="4"/>
      <c r="M53" s="4">
        <v>80</v>
      </c>
      <c r="N53" s="4"/>
      <c r="O53" s="4"/>
      <c r="P53" s="4"/>
      <c r="Q53" s="4"/>
      <c r="R53" s="4"/>
      <c r="S53" s="4"/>
      <c r="T53" s="4"/>
      <c r="U53" s="4"/>
      <c r="V53" s="4">
        <f t="shared" si="3"/>
        <v>85</v>
      </c>
      <c r="W53" s="23"/>
    </row>
    <row r="54" spans="1:23" x14ac:dyDescent="0.3">
      <c r="A54">
        <v>50</v>
      </c>
      <c r="B54" s="2">
        <f t="shared" si="2"/>
        <v>45902</v>
      </c>
      <c r="D54" s="4" t="s">
        <v>435</v>
      </c>
      <c r="E54" s="4" t="s">
        <v>201</v>
      </c>
      <c r="F54" s="4" t="s">
        <v>202</v>
      </c>
      <c r="G54" s="4" t="s">
        <v>32</v>
      </c>
      <c r="H54" s="4" t="s">
        <v>34</v>
      </c>
      <c r="I54" s="4" t="s">
        <v>53</v>
      </c>
      <c r="J54" s="4" t="s">
        <v>53</v>
      </c>
      <c r="K54" s="4">
        <v>50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>
        <f t="shared" si="3"/>
        <v>50</v>
      </c>
    </row>
    <row r="55" spans="1:23" x14ac:dyDescent="0.3">
      <c r="A55">
        <v>51</v>
      </c>
      <c r="B55" s="2">
        <f t="shared" si="2"/>
        <v>45902</v>
      </c>
      <c r="D55" s="4" t="s">
        <v>436</v>
      </c>
      <c r="E55" s="4" t="s">
        <v>234</v>
      </c>
      <c r="F55" s="4" t="s">
        <v>235</v>
      </c>
      <c r="G55" s="4" t="s">
        <v>32</v>
      </c>
      <c r="H55" s="4">
        <v>0</v>
      </c>
      <c r="I55" s="4" t="s">
        <v>236</v>
      </c>
      <c r="J55" s="4" t="s">
        <v>50</v>
      </c>
      <c r="K55" s="4"/>
      <c r="L55" s="4"/>
      <c r="M55" s="4">
        <v>50</v>
      </c>
      <c r="N55" s="4"/>
      <c r="O55" s="4"/>
      <c r="P55" s="4"/>
      <c r="Q55" s="4"/>
      <c r="R55" s="4"/>
      <c r="S55" s="4"/>
      <c r="T55" s="4"/>
      <c r="U55" s="4"/>
      <c r="V55" s="4">
        <f t="shared" si="3"/>
        <v>50</v>
      </c>
    </row>
    <row r="56" spans="1:23" x14ac:dyDescent="0.3">
      <c r="A56">
        <v>52</v>
      </c>
      <c r="B56" s="2">
        <f t="shared" si="2"/>
        <v>45902</v>
      </c>
      <c r="D56" s="4" t="s">
        <v>437</v>
      </c>
      <c r="E56" s="4" t="s">
        <v>245</v>
      </c>
      <c r="F56" s="4" t="s">
        <v>246</v>
      </c>
      <c r="G56" s="4" t="s">
        <v>31</v>
      </c>
      <c r="H56" s="4" t="s">
        <v>34</v>
      </c>
      <c r="I56" s="4" t="s">
        <v>247</v>
      </c>
      <c r="J56" s="4" t="s">
        <v>93</v>
      </c>
      <c r="K56" s="4"/>
      <c r="L56" s="4"/>
      <c r="M56" s="4">
        <v>50</v>
      </c>
      <c r="N56" s="4"/>
      <c r="O56" s="4"/>
      <c r="P56" s="4"/>
      <c r="Q56" s="4"/>
      <c r="R56" s="4"/>
      <c r="S56" s="4"/>
      <c r="T56" s="4"/>
      <c r="U56" s="4"/>
      <c r="V56" s="4">
        <f t="shared" si="3"/>
        <v>50</v>
      </c>
    </row>
    <row r="57" spans="1:23" x14ac:dyDescent="0.3">
      <c r="A57">
        <v>53</v>
      </c>
      <c r="B57" s="2">
        <f t="shared" si="2"/>
        <v>45902</v>
      </c>
      <c r="D57" s="4" t="s">
        <v>438</v>
      </c>
      <c r="E57" s="4" t="s">
        <v>149</v>
      </c>
      <c r="F57" s="4" t="s">
        <v>150</v>
      </c>
      <c r="G57" s="4" t="s">
        <v>32</v>
      </c>
      <c r="H57" s="4">
        <v>0</v>
      </c>
      <c r="I57" s="4" t="s">
        <v>151</v>
      </c>
      <c r="J57" s="4" t="s">
        <v>93</v>
      </c>
      <c r="K57" s="4">
        <v>40</v>
      </c>
      <c r="L57" s="4">
        <v>10</v>
      </c>
      <c r="M57" s="4"/>
      <c r="N57" s="4"/>
      <c r="O57" s="4"/>
      <c r="P57" s="4"/>
      <c r="Q57" s="4"/>
      <c r="R57" s="4"/>
      <c r="S57" s="4"/>
      <c r="T57" s="4"/>
      <c r="U57" s="4"/>
      <c r="V57" s="4">
        <f t="shared" si="3"/>
        <v>50</v>
      </c>
    </row>
    <row r="58" spans="1:23" x14ac:dyDescent="0.3">
      <c r="A58">
        <v>54</v>
      </c>
      <c r="B58" s="2">
        <f t="shared" si="2"/>
        <v>45902</v>
      </c>
      <c r="D58" s="4" t="s">
        <v>439</v>
      </c>
      <c r="E58" s="4" t="s">
        <v>440</v>
      </c>
      <c r="F58" s="4" t="s">
        <v>441</v>
      </c>
      <c r="G58" s="4" t="s">
        <v>31</v>
      </c>
      <c r="H58" s="4" t="s">
        <v>34</v>
      </c>
      <c r="I58" s="4" t="s">
        <v>442</v>
      </c>
      <c r="J58" s="4" t="s">
        <v>50</v>
      </c>
      <c r="K58" s="4">
        <v>20</v>
      </c>
      <c r="L58" s="4">
        <v>30</v>
      </c>
      <c r="M58" s="4"/>
      <c r="N58" s="4"/>
      <c r="O58" s="4"/>
      <c r="P58" s="4"/>
      <c r="Q58" s="4"/>
      <c r="R58" s="4"/>
      <c r="S58" s="4"/>
      <c r="T58" s="4"/>
      <c r="U58" s="4"/>
      <c r="V58" s="4">
        <f t="shared" si="3"/>
        <v>50</v>
      </c>
    </row>
    <row r="59" spans="1:23" x14ac:dyDescent="0.3">
      <c r="A59">
        <v>55</v>
      </c>
      <c r="B59" s="2">
        <f t="shared" si="2"/>
        <v>45902</v>
      </c>
      <c r="D59" s="4" t="s">
        <v>443</v>
      </c>
      <c r="E59" s="4" t="s">
        <v>227</v>
      </c>
      <c r="F59" s="4" t="s">
        <v>228</v>
      </c>
      <c r="G59" s="4" t="s">
        <v>31</v>
      </c>
      <c r="H59" s="4" t="s">
        <v>34</v>
      </c>
      <c r="I59" s="4" t="s">
        <v>229</v>
      </c>
      <c r="J59" s="4" t="s">
        <v>51</v>
      </c>
      <c r="K59" s="4">
        <v>30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>
        <f t="shared" si="3"/>
        <v>30</v>
      </c>
    </row>
    <row r="60" spans="1:23" x14ac:dyDescent="0.3">
      <c r="A60">
        <v>56</v>
      </c>
      <c r="B60" s="2">
        <f t="shared" si="2"/>
        <v>45902</v>
      </c>
      <c r="D60" s="4" t="s">
        <v>444</v>
      </c>
      <c r="E60" s="4" t="s">
        <v>269</v>
      </c>
      <c r="F60" s="4" t="s">
        <v>270</v>
      </c>
      <c r="G60" s="4" t="s">
        <v>32</v>
      </c>
      <c r="H60" s="4">
        <v>0</v>
      </c>
      <c r="I60" s="4" t="s">
        <v>271</v>
      </c>
      <c r="J60" s="4" t="s">
        <v>55</v>
      </c>
      <c r="K60" s="4"/>
      <c r="L60" s="4"/>
      <c r="M60" s="4">
        <v>48</v>
      </c>
      <c r="N60" s="4"/>
      <c r="O60" s="4"/>
      <c r="P60" s="4"/>
      <c r="Q60" s="4"/>
      <c r="R60" s="4"/>
      <c r="S60" s="4"/>
      <c r="T60" s="4">
        <v>5</v>
      </c>
      <c r="U60" s="4"/>
      <c r="V60" s="4">
        <f t="shared" si="3"/>
        <v>53</v>
      </c>
    </row>
    <row r="61" spans="1:23" x14ac:dyDescent="0.3">
      <c r="A61">
        <v>57</v>
      </c>
      <c r="B61" s="2">
        <f t="shared" si="2"/>
        <v>45902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>
        <f t="shared" si="3"/>
        <v>0</v>
      </c>
    </row>
    <row r="62" spans="1:23" x14ac:dyDescent="0.3">
      <c r="A62">
        <v>58</v>
      </c>
      <c r="B62" s="2">
        <f t="shared" si="2"/>
        <v>45902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>
        <f t="shared" si="3"/>
        <v>0</v>
      </c>
    </row>
    <row r="63" spans="1:23" x14ac:dyDescent="0.3">
      <c r="A63">
        <v>59</v>
      </c>
      <c r="B63" s="2">
        <f t="shared" si="2"/>
        <v>45902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>
        <f t="shared" si="3"/>
        <v>0</v>
      </c>
    </row>
    <row r="64" spans="1:23" x14ac:dyDescent="0.3">
      <c r="A64">
        <v>60</v>
      </c>
      <c r="B64" s="2">
        <f t="shared" si="2"/>
        <v>45902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>
        <f t="shared" si="3"/>
        <v>0</v>
      </c>
    </row>
    <row r="65" spans="1:22" x14ac:dyDescent="0.3">
      <c r="A65">
        <v>61</v>
      </c>
      <c r="B65" s="2">
        <f t="shared" si="2"/>
        <v>45902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>
        <f t="shared" si="3"/>
        <v>0</v>
      </c>
    </row>
    <row r="66" spans="1:22" x14ac:dyDescent="0.3">
      <c r="A66">
        <v>62</v>
      </c>
      <c r="B66" s="2">
        <f t="shared" si="2"/>
        <v>45902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>
        <f t="shared" si="3"/>
        <v>0</v>
      </c>
    </row>
    <row r="67" spans="1:22" x14ac:dyDescent="0.3">
      <c r="A67">
        <v>63</v>
      </c>
      <c r="B67" s="2">
        <f t="shared" si="2"/>
        <v>45902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>
        <f t="shared" si="3"/>
        <v>0</v>
      </c>
    </row>
    <row r="68" spans="1:22" x14ac:dyDescent="0.3">
      <c r="A68">
        <v>64</v>
      </c>
      <c r="B68" s="2">
        <f t="shared" si="2"/>
        <v>45902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>
        <f t="shared" si="3"/>
        <v>0</v>
      </c>
    </row>
    <row r="69" spans="1:22" x14ac:dyDescent="0.3">
      <c r="A69">
        <v>65</v>
      </c>
      <c r="B69" s="2">
        <f t="shared" ref="B69:B81" si="4">$I$94</f>
        <v>45902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>
        <f t="shared" si="3"/>
        <v>0</v>
      </c>
    </row>
    <row r="70" spans="1:22" x14ac:dyDescent="0.3">
      <c r="A70">
        <v>66</v>
      </c>
      <c r="B70" s="2">
        <f t="shared" si="4"/>
        <v>45902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>
        <f t="shared" ref="V70:V93" si="5">SUM(K70:U70)</f>
        <v>0</v>
      </c>
    </row>
    <row r="71" spans="1:22" x14ac:dyDescent="0.3">
      <c r="A71">
        <v>67</v>
      </c>
      <c r="B71" s="2">
        <f t="shared" si="4"/>
        <v>45902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>
        <f t="shared" si="5"/>
        <v>0</v>
      </c>
    </row>
    <row r="72" spans="1:22" x14ac:dyDescent="0.3">
      <c r="A72">
        <v>68</v>
      </c>
      <c r="B72" s="2">
        <f t="shared" si="4"/>
        <v>45902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>
        <f t="shared" si="5"/>
        <v>0</v>
      </c>
    </row>
    <row r="73" spans="1:22" x14ac:dyDescent="0.3">
      <c r="A73">
        <v>69</v>
      </c>
      <c r="B73" s="2">
        <f t="shared" si="4"/>
        <v>45902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>
        <f t="shared" si="5"/>
        <v>0</v>
      </c>
    </row>
    <row r="74" spans="1:22" x14ac:dyDescent="0.3">
      <c r="A74">
        <v>70</v>
      </c>
      <c r="B74" s="2">
        <f t="shared" si="4"/>
        <v>45902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>
        <f t="shared" si="5"/>
        <v>0</v>
      </c>
    </row>
    <row r="75" spans="1:22" x14ac:dyDescent="0.3">
      <c r="A75">
        <v>71</v>
      </c>
      <c r="B75" s="2">
        <f t="shared" si="4"/>
        <v>45902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>
        <f t="shared" si="5"/>
        <v>0</v>
      </c>
    </row>
    <row r="76" spans="1:22" x14ac:dyDescent="0.3">
      <c r="A76">
        <v>72</v>
      </c>
      <c r="B76" s="2">
        <f t="shared" si="4"/>
        <v>45902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>
        <f t="shared" si="5"/>
        <v>0</v>
      </c>
    </row>
    <row r="77" spans="1:22" x14ac:dyDescent="0.3">
      <c r="A77">
        <v>73</v>
      </c>
      <c r="B77" s="2">
        <f t="shared" si="4"/>
        <v>45902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>
        <f t="shared" si="5"/>
        <v>0</v>
      </c>
    </row>
    <row r="78" spans="1:22" x14ac:dyDescent="0.3">
      <c r="A78">
        <v>74</v>
      </c>
      <c r="B78" s="2">
        <f t="shared" si="4"/>
        <v>45902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>
        <f t="shared" si="5"/>
        <v>0</v>
      </c>
    </row>
    <row r="79" spans="1:22" x14ac:dyDescent="0.3">
      <c r="A79">
        <v>75</v>
      </c>
      <c r="B79" s="2">
        <f t="shared" si="4"/>
        <v>45902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>
        <f t="shared" si="5"/>
        <v>0</v>
      </c>
    </row>
    <row r="80" spans="1:22" x14ac:dyDescent="0.3">
      <c r="A80">
        <v>76</v>
      </c>
      <c r="B80" s="2">
        <f t="shared" si="4"/>
        <v>45902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>
        <f t="shared" si="5"/>
        <v>0</v>
      </c>
    </row>
    <row r="81" spans="1:24" x14ac:dyDescent="0.3">
      <c r="A81">
        <v>77</v>
      </c>
      <c r="B81" s="2">
        <f t="shared" si="4"/>
        <v>45902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>
        <f t="shared" si="5"/>
        <v>0</v>
      </c>
    </row>
    <row r="82" spans="1:24" x14ac:dyDescent="0.3">
      <c r="A82">
        <v>78</v>
      </c>
      <c r="B82" s="2">
        <f>$I$94</f>
        <v>45902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>
        <f t="shared" si="5"/>
        <v>0</v>
      </c>
    </row>
    <row r="83" spans="1:24" x14ac:dyDescent="0.3">
      <c r="A83">
        <v>79</v>
      </c>
      <c r="B83" s="2">
        <f>$I$94</f>
        <v>45902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>
        <f t="shared" si="5"/>
        <v>0</v>
      </c>
    </row>
    <row r="84" spans="1:24" x14ac:dyDescent="0.3">
      <c r="A84">
        <v>80</v>
      </c>
      <c r="B84" s="2">
        <f>$I$94</f>
        <v>45902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>
        <f t="shared" si="5"/>
        <v>0</v>
      </c>
    </row>
    <row r="85" spans="1:24" x14ac:dyDescent="0.3">
      <c r="A85">
        <v>81</v>
      </c>
      <c r="B85" s="2">
        <f>$I$94</f>
        <v>45902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>
        <f t="shared" si="5"/>
        <v>0</v>
      </c>
    </row>
    <row r="86" spans="1:24" x14ac:dyDescent="0.3">
      <c r="A86">
        <v>81</v>
      </c>
      <c r="B86" s="2">
        <f t="shared" ref="B86:B89" si="6">$I$94</f>
        <v>45902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>
        <f t="shared" si="5"/>
        <v>0</v>
      </c>
    </row>
    <row r="87" spans="1:24" x14ac:dyDescent="0.3">
      <c r="A87">
        <v>81</v>
      </c>
      <c r="B87" s="2">
        <f t="shared" si="6"/>
        <v>45902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>
        <f t="shared" si="5"/>
        <v>0</v>
      </c>
    </row>
    <row r="88" spans="1:24" x14ac:dyDescent="0.3">
      <c r="A88">
        <v>81</v>
      </c>
      <c r="B88" s="2">
        <f t="shared" si="6"/>
        <v>45902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>
        <f t="shared" si="5"/>
        <v>0</v>
      </c>
    </row>
    <row r="89" spans="1:24" x14ac:dyDescent="0.3">
      <c r="A89">
        <v>81</v>
      </c>
      <c r="B89" s="2">
        <f t="shared" si="6"/>
        <v>45902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>
        <f t="shared" si="5"/>
        <v>0</v>
      </c>
    </row>
    <row r="90" spans="1:24" x14ac:dyDescent="0.3">
      <c r="A90">
        <v>84</v>
      </c>
      <c r="B90" s="2">
        <f>$I$94</f>
        <v>45902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>
        <f t="shared" si="5"/>
        <v>0</v>
      </c>
    </row>
    <row r="91" spans="1:24" x14ac:dyDescent="0.3">
      <c r="A91">
        <v>85</v>
      </c>
      <c r="B91" s="2">
        <f>$I$94</f>
        <v>45902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>
        <f t="shared" si="5"/>
        <v>0</v>
      </c>
    </row>
    <row r="92" spans="1:24" x14ac:dyDescent="0.3">
      <c r="A92">
        <v>86</v>
      </c>
      <c r="B92" s="2">
        <f>$I$94</f>
        <v>45902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>
        <f t="shared" si="5"/>
        <v>0</v>
      </c>
    </row>
    <row r="93" spans="1:24" x14ac:dyDescent="0.3">
      <c r="A93">
        <v>87</v>
      </c>
      <c r="B93" s="2">
        <f>$I$94</f>
        <v>45902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V93" s="4">
        <f t="shared" si="5"/>
        <v>0</v>
      </c>
    </row>
    <row r="94" spans="1:24" ht="23.4" x14ac:dyDescent="0.3">
      <c r="A94" s="1"/>
      <c r="B94" s="1"/>
      <c r="C94" s="1"/>
      <c r="D94" s="5"/>
      <c r="E94" s="6" t="s">
        <v>14</v>
      </c>
      <c r="F94" s="6">
        <f>(K94+L94+Q94)*11.2+(M94*12.1)+(N94+O94+P94+R94)*0.6*11.2</f>
        <v>55182.359999999993</v>
      </c>
      <c r="G94" s="1"/>
      <c r="H94" s="4"/>
      <c r="I94" s="7">
        <v>45902</v>
      </c>
      <c r="J94" s="8"/>
      <c r="K94" s="8">
        <f t="shared" ref="K94:V94" si="7">SUM(K5:K93)</f>
        <v>921</v>
      </c>
      <c r="L94" s="8">
        <f t="shared" si="7"/>
        <v>392</v>
      </c>
      <c r="M94" s="8">
        <f t="shared" si="7"/>
        <v>886</v>
      </c>
      <c r="N94" s="8">
        <f t="shared" si="7"/>
        <v>1934</v>
      </c>
      <c r="O94" s="8">
        <f t="shared" si="7"/>
        <v>1862</v>
      </c>
      <c r="P94" s="8">
        <f t="shared" si="7"/>
        <v>627</v>
      </c>
      <c r="Q94" s="8">
        <f t="shared" si="7"/>
        <v>0</v>
      </c>
      <c r="R94" s="8">
        <f t="shared" si="7"/>
        <v>5</v>
      </c>
      <c r="S94" s="8">
        <f t="shared" si="7"/>
        <v>5</v>
      </c>
      <c r="T94" s="8">
        <f t="shared" si="7"/>
        <v>5</v>
      </c>
      <c r="U94" s="8">
        <f t="shared" si="7"/>
        <v>0</v>
      </c>
      <c r="V94" s="8">
        <f t="shared" si="7"/>
        <v>6637</v>
      </c>
      <c r="W94" s="9"/>
      <c r="X94" s="10"/>
    </row>
    <row r="100" spans="23:23" x14ac:dyDescent="0.3">
      <c r="W100" s="25"/>
    </row>
    <row r="101" spans="23:23" x14ac:dyDescent="0.3">
      <c r="W101" s="25"/>
    </row>
    <row r="102" spans="23:23" x14ac:dyDescent="0.3">
      <c r="W102" s="25"/>
    </row>
  </sheetData>
  <conditionalFormatting sqref="D1">
    <cfRule type="duplicateValues" dxfId="115" priority="73"/>
    <cfRule type="duplicateValues" dxfId="114" priority="74"/>
    <cfRule type="duplicateValues" dxfId="113" priority="75"/>
    <cfRule type="duplicateValues" dxfId="112" priority="76"/>
    <cfRule type="duplicateValues" dxfId="111" priority="77"/>
    <cfRule type="duplicateValues" dxfId="110" priority="78"/>
    <cfRule type="duplicateValues" dxfId="109" priority="79"/>
    <cfRule type="duplicateValues" dxfId="108" priority="80"/>
    <cfRule type="duplicateValues" dxfId="107" priority="81"/>
    <cfRule type="duplicateValues" dxfId="106" priority="82"/>
    <cfRule type="duplicateValues" dxfId="105" priority="83"/>
    <cfRule type="duplicateValues" dxfId="104" priority="84"/>
    <cfRule type="duplicateValues" dxfId="103" priority="85"/>
    <cfRule type="duplicateValues" dxfId="102" priority="86"/>
    <cfRule type="duplicateValues" dxfId="101" priority="87"/>
    <cfRule type="duplicateValues" dxfId="100" priority="88"/>
    <cfRule type="duplicateValues" dxfId="99" priority="89"/>
    <cfRule type="duplicateValues" dxfId="98" priority="90"/>
    <cfRule type="duplicateValues" dxfId="97" priority="91"/>
    <cfRule type="duplicateValues" dxfId="96" priority="92"/>
  </conditionalFormatting>
  <conditionalFormatting sqref="D1:D1048576">
    <cfRule type="duplicateValues" dxfId="95" priority="1"/>
  </conditionalFormatting>
  <conditionalFormatting sqref="D2">
    <cfRule type="duplicateValues" dxfId="94" priority="93"/>
    <cfRule type="duplicateValues" dxfId="93" priority="94"/>
    <cfRule type="duplicateValues" dxfId="92" priority="95"/>
    <cfRule type="duplicateValues" dxfId="91" priority="96"/>
    <cfRule type="duplicateValues" dxfId="90" priority="97"/>
    <cfRule type="duplicateValues" dxfId="89" priority="98"/>
    <cfRule type="duplicateValues" dxfId="88" priority="99"/>
    <cfRule type="duplicateValues" dxfId="87" priority="100"/>
    <cfRule type="duplicateValues" dxfId="86" priority="101"/>
    <cfRule type="duplicateValues" dxfId="85" priority="102"/>
    <cfRule type="duplicateValues" dxfId="84" priority="103"/>
    <cfRule type="duplicateValues" dxfId="83" priority="104"/>
    <cfRule type="duplicateValues" dxfId="82" priority="105"/>
    <cfRule type="duplicateValues" dxfId="81" priority="106"/>
    <cfRule type="duplicateValues" dxfId="80" priority="107"/>
    <cfRule type="duplicateValues" dxfId="79" priority="108"/>
    <cfRule type="duplicateValues" dxfId="78" priority="109"/>
    <cfRule type="duplicateValues" dxfId="77" priority="110"/>
    <cfRule type="duplicateValues" dxfId="76" priority="111"/>
    <cfRule type="duplicateValues" dxfId="75" priority="112"/>
  </conditionalFormatting>
  <conditionalFormatting sqref="D3">
    <cfRule type="duplicateValues" dxfId="74" priority="113"/>
    <cfRule type="duplicateValues" dxfId="73" priority="114"/>
    <cfRule type="duplicateValues" dxfId="72" priority="115"/>
    <cfRule type="duplicateValues" dxfId="71" priority="116"/>
    <cfRule type="duplicateValues" dxfId="70" priority="117"/>
    <cfRule type="duplicateValues" dxfId="69" priority="118"/>
    <cfRule type="duplicateValues" dxfId="68" priority="119"/>
    <cfRule type="duplicateValues" dxfId="67" priority="120"/>
    <cfRule type="duplicateValues" dxfId="66" priority="121"/>
    <cfRule type="duplicateValues" dxfId="65" priority="122"/>
    <cfRule type="duplicateValues" dxfId="64" priority="123"/>
    <cfRule type="duplicateValues" dxfId="63" priority="124"/>
    <cfRule type="duplicateValues" dxfId="62" priority="125"/>
    <cfRule type="duplicateValues" dxfId="61" priority="126"/>
    <cfRule type="duplicateValues" dxfId="60" priority="127"/>
    <cfRule type="duplicateValues" dxfId="59" priority="128"/>
    <cfRule type="duplicateValues" dxfId="58" priority="129"/>
    <cfRule type="duplicateValues" dxfId="57" priority="130"/>
    <cfRule type="duplicateValues" dxfId="56" priority="131"/>
    <cfRule type="duplicateValues" dxfId="55" priority="132"/>
  </conditionalFormatting>
  <conditionalFormatting sqref="D4">
    <cfRule type="duplicateValues" dxfId="54" priority="71"/>
    <cfRule type="duplicateValues" dxfId="53" priority="72"/>
  </conditionalFormatting>
  <conditionalFormatting sqref="D5:D91">
    <cfRule type="duplicateValues" dxfId="52" priority="4"/>
  </conditionalFormatting>
  <conditionalFormatting sqref="D94">
    <cfRule type="duplicateValues" dxfId="51" priority="21"/>
    <cfRule type="duplicateValues" dxfId="50" priority="22"/>
    <cfRule type="duplicateValues" dxfId="49" priority="23"/>
    <cfRule type="duplicateValues" dxfId="48" priority="24"/>
    <cfRule type="duplicateValues" dxfId="47" priority="25"/>
    <cfRule type="duplicateValues" dxfId="46" priority="26"/>
    <cfRule type="duplicateValues" dxfId="45" priority="31"/>
    <cfRule type="duplicateValues" dxfId="44" priority="32"/>
    <cfRule type="duplicateValues" dxfId="43" priority="33"/>
    <cfRule type="duplicateValues" dxfId="42" priority="34"/>
    <cfRule type="duplicateValues" dxfId="41" priority="35"/>
    <cfRule type="duplicateValues" dxfId="40" priority="36"/>
    <cfRule type="duplicateValues" dxfId="39" priority="37"/>
    <cfRule type="duplicateValues" dxfId="38" priority="38"/>
    <cfRule type="duplicateValues" dxfId="37" priority="39"/>
    <cfRule type="duplicateValues" dxfId="36" priority="40"/>
    <cfRule type="duplicateValues" dxfId="35" priority="41"/>
    <cfRule type="duplicateValues" dxfId="34" priority="42"/>
    <cfRule type="duplicateValues" dxfId="33" priority="43"/>
    <cfRule type="duplicateValues" dxfId="32" priority="44"/>
    <cfRule type="duplicateValues" dxfId="31" priority="45"/>
    <cfRule type="duplicateValues" dxfId="30" priority="46"/>
    <cfRule type="duplicateValues" dxfId="29" priority="47"/>
    <cfRule type="duplicateValues" dxfId="28" priority="48"/>
    <cfRule type="duplicateValues" dxfId="27" priority="49"/>
    <cfRule type="duplicateValues" dxfId="26" priority="50"/>
    <cfRule type="duplicateValues" dxfId="25" priority="51"/>
    <cfRule type="duplicateValues" dxfId="24" priority="52"/>
    <cfRule type="duplicateValues" dxfId="23" priority="53"/>
    <cfRule type="duplicateValues" dxfId="22" priority="54"/>
    <cfRule type="duplicateValues" dxfId="21" priority="55"/>
    <cfRule type="duplicateValues" dxfId="20" priority="56"/>
    <cfRule type="duplicateValues" dxfId="19" priority="57"/>
    <cfRule type="duplicateValues" dxfId="18" priority="58"/>
    <cfRule type="duplicateValues" dxfId="17" priority="59"/>
    <cfRule type="duplicateValues" dxfId="16" priority="64"/>
    <cfRule type="duplicateValues" dxfId="15" priority="65"/>
    <cfRule type="duplicateValues" dxfId="14" priority="66"/>
    <cfRule type="duplicateValues" dxfId="13" priority="67"/>
    <cfRule type="duplicateValues" dxfId="12" priority="68"/>
    <cfRule type="duplicateValues" dxfId="11" priority="69"/>
    <cfRule type="duplicateValues" dxfId="10" priority="70"/>
  </conditionalFormatting>
  <conditionalFormatting sqref="D94:D1048576 D1:D4 D92:F93 I92:I93">
    <cfRule type="duplicateValues" dxfId="9" priority="5"/>
  </conditionalFormatting>
  <conditionalFormatting sqref="D94:D1048576 D1:D4">
    <cfRule type="duplicateValues" dxfId="8" priority="16"/>
  </conditionalFormatting>
  <conditionalFormatting sqref="E94">
    <cfRule type="duplicateValues" dxfId="7" priority="60"/>
    <cfRule type="duplicateValues" dxfId="6" priority="61"/>
    <cfRule type="duplicateValues" dxfId="5" priority="62"/>
    <cfRule type="duplicateValues" dxfId="4" priority="63"/>
  </conditionalFormatting>
  <conditionalFormatting sqref="F94">
    <cfRule type="duplicateValues" dxfId="3" priority="17"/>
    <cfRule type="duplicateValues" dxfId="2" priority="18"/>
    <cfRule type="duplicateValues" dxfId="1" priority="19"/>
    <cfRule type="duplicateValues" dxfId="0" priority="20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4D0E-FC6F-4A8A-9338-9E76A3C2947E}">
  <dimension ref="A1:N140"/>
  <sheetViews>
    <sheetView tabSelected="1" workbookViewId="0">
      <selection activeCell="K1" sqref="K1"/>
    </sheetView>
  </sheetViews>
  <sheetFormatPr defaultRowHeight="14.4" x14ac:dyDescent="0.3"/>
  <sheetData>
    <row r="1" spans="1:14" x14ac:dyDescent="0.3">
      <c r="A1" t="s">
        <v>3</v>
      </c>
      <c r="B1" t="s">
        <v>4</v>
      </c>
      <c r="C1" t="s">
        <v>15</v>
      </c>
      <c r="D1" t="s">
        <v>33</v>
      </c>
      <c r="E1" t="s">
        <v>445</v>
      </c>
      <c r="F1">
        <v>0</v>
      </c>
      <c r="J1" t="s">
        <v>485</v>
      </c>
      <c r="K1" t="s">
        <v>486</v>
      </c>
      <c r="L1" t="s">
        <v>487</v>
      </c>
      <c r="M1" t="s">
        <v>488</v>
      </c>
      <c r="N1" t="s">
        <v>489</v>
      </c>
    </row>
    <row r="2" spans="1:14" x14ac:dyDescent="0.3">
      <c r="A2" t="s">
        <v>380</v>
      </c>
      <c r="B2" t="s">
        <v>263</v>
      </c>
      <c r="C2" t="s">
        <v>264</v>
      </c>
      <c r="D2">
        <v>0</v>
      </c>
      <c r="E2" t="s">
        <v>452</v>
      </c>
      <c r="F2">
        <v>50</v>
      </c>
      <c r="J2" t="s">
        <v>380</v>
      </c>
      <c r="K2" t="s">
        <v>491</v>
      </c>
      <c r="L2" t="s">
        <v>453</v>
      </c>
      <c r="M2">
        <v>50</v>
      </c>
      <c r="N2" t="s">
        <v>490</v>
      </c>
    </row>
    <row r="3" spans="1:14" x14ac:dyDescent="0.3">
      <c r="A3" t="s">
        <v>380</v>
      </c>
      <c r="B3" t="s">
        <v>263</v>
      </c>
      <c r="C3" t="s">
        <v>264</v>
      </c>
      <c r="D3">
        <v>0</v>
      </c>
      <c r="E3" t="s">
        <v>455</v>
      </c>
      <c r="F3">
        <v>40</v>
      </c>
      <c r="J3" t="s">
        <v>380</v>
      </c>
      <c r="K3" t="s">
        <v>491</v>
      </c>
      <c r="L3" t="s">
        <v>456</v>
      </c>
      <c r="M3">
        <v>40</v>
      </c>
      <c r="N3" t="s">
        <v>490</v>
      </c>
    </row>
    <row r="4" spans="1:14" x14ac:dyDescent="0.3">
      <c r="A4" t="s">
        <v>380</v>
      </c>
      <c r="B4" t="s">
        <v>263</v>
      </c>
      <c r="C4" t="s">
        <v>264</v>
      </c>
      <c r="D4">
        <v>0</v>
      </c>
      <c r="E4" t="s">
        <v>458</v>
      </c>
      <c r="F4">
        <v>30</v>
      </c>
      <c r="J4" t="s">
        <v>380</v>
      </c>
      <c r="K4" t="s">
        <v>491</v>
      </c>
      <c r="L4" t="s">
        <v>459</v>
      </c>
      <c r="M4">
        <v>30</v>
      </c>
      <c r="N4" t="s">
        <v>490</v>
      </c>
    </row>
    <row r="5" spans="1:14" x14ac:dyDescent="0.3">
      <c r="A5" t="s">
        <v>381</v>
      </c>
      <c r="B5" t="s">
        <v>89</v>
      </c>
      <c r="C5" t="s">
        <v>97</v>
      </c>
      <c r="D5">
        <v>0</v>
      </c>
      <c r="E5" t="s">
        <v>452</v>
      </c>
      <c r="F5">
        <v>100</v>
      </c>
      <c r="J5" t="s">
        <v>381</v>
      </c>
      <c r="K5" t="s">
        <v>492</v>
      </c>
      <c r="L5" t="s">
        <v>453</v>
      </c>
      <c r="M5">
        <v>100</v>
      </c>
      <c r="N5" t="s">
        <v>490</v>
      </c>
    </row>
    <row r="6" spans="1:14" x14ac:dyDescent="0.3">
      <c r="A6" t="s">
        <v>381</v>
      </c>
      <c r="B6" t="s">
        <v>89</v>
      </c>
      <c r="C6" t="s">
        <v>97</v>
      </c>
      <c r="D6">
        <v>0</v>
      </c>
      <c r="E6" t="s">
        <v>455</v>
      </c>
      <c r="F6">
        <v>75</v>
      </c>
      <c r="J6" t="s">
        <v>381</v>
      </c>
      <c r="K6" t="s">
        <v>492</v>
      </c>
      <c r="L6" t="s">
        <v>456</v>
      </c>
      <c r="M6">
        <v>75</v>
      </c>
      <c r="N6" t="s">
        <v>490</v>
      </c>
    </row>
    <row r="7" spans="1:14" x14ac:dyDescent="0.3">
      <c r="A7" t="s">
        <v>381</v>
      </c>
      <c r="B7" t="s">
        <v>89</v>
      </c>
      <c r="C7" t="s">
        <v>97</v>
      </c>
      <c r="D7">
        <v>0</v>
      </c>
      <c r="E7" t="s">
        <v>458</v>
      </c>
      <c r="F7">
        <v>50</v>
      </c>
      <c r="J7" t="s">
        <v>381</v>
      </c>
      <c r="K7" t="s">
        <v>492</v>
      </c>
      <c r="L7" t="s">
        <v>459</v>
      </c>
      <c r="M7">
        <v>50</v>
      </c>
      <c r="N7" t="s">
        <v>490</v>
      </c>
    </row>
    <row r="8" spans="1:14" x14ac:dyDescent="0.3">
      <c r="A8" t="s">
        <v>382</v>
      </c>
      <c r="B8" t="s">
        <v>242</v>
      </c>
      <c r="C8" t="s">
        <v>243</v>
      </c>
      <c r="D8">
        <v>0</v>
      </c>
      <c r="E8" t="s">
        <v>461</v>
      </c>
      <c r="F8">
        <v>30</v>
      </c>
      <c r="J8" t="s">
        <v>382</v>
      </c>
      <c r="K8" t="s">
        <v>493</v>
      </c>
      <c r="L8" t="s">
        <v>462</v>
      </c>
      <c r="M8">
        <v>30</v>
      </c>
      <c r="N8" t="s">
        <v>490</v>
      </c>
    </row>
    <row r="9" spans="1:14" x14ac:dyDescent="0.3">
      <c r="A9" t="s">
        <v>382</v>
      </c>
      <c r="B9" t="s">
        <v>242</v>
      </c>
      <c r="C9" t="s">
        <v>243</v>
      </c>
      <c r="D9">
        <v>0</v>
      </c>
      <c r="E9" t="s">
        <v>467</v>
      </c>
      <c r="F9">
        <v>25</v>
      </c>
      <c r="J9" t="s">
        <v>382</v>
      </c>
      <c r="K9" t="s">
        <v>493</v>
      </c>
      <c r="L9" t="s">
        <v>468</v>
      </c>
      <c r="M9">
        <v>25</v>
      </c>
      <c r="N9" t="s">
        <v>490</v>
      </c>
    </row>
    <row r="10" spans="1:14" x14ac:dyDescent="0.3">
      <c r="A10" t="s">
        <v>383</v>
      </c>
      <c r="B10" t="s">
        <v>181</v>
      </c>
      <c r="C10" t="s">
        <v>182</v>
      </c>
      <c r="D10">
        <v>0</v>
      </c>
      <c r="E10" t="s">
        <v>461</v>
      </c>
      <c r="F10">
        <v>10</v>
      </c>
      <c r="J10" t="s">
        <v>383</v>
      </c>
      <c r="K10" t="s">
        <v>494</v>
      </c>
      <c r="L10" t="s">
        <v>462</v>
      </c>
      <c r="M10">
        <v>10</v>
      </c>
      <c r="N10" t="s">
        <v>490</v>
      </c>
    </row>
    <row r="11" spans="1:14" x14ac:dyDescent="0.3">
      <c r="A11" t="s">
        <v>383</v>
      </c>
      <c r="B11" t="s">
        <v>181</v>
      </c>
      <c r="C11" t="s">
        <v>182</v>
      </c>
      <c r="D11">
        <v>0</v>
      </c>
      <c r="E11" t="s">
        <v>464</v>
      </c>
      <c r="F11">
        <v>20</v>
      </c>
      <c r="J11" t="s">
        <v>383</v>
      </c>
      <c r="K11" t="s">
        <v>494</v>
      </c>
      <c r="L11" t="s">
        <v>465</v>
      </c>
      <c r="M11">
        <v>20</v>
      </c>
      <c r="N11" t="s">
        <v>490</v>
      </c>
    </row>
    <row r="12" spans="1:14" x14ac:dyDescent="0.3">
      <c r="A12" t="s">
        <v>383</v>
      </c>
      <c r="B12" t="s">
        <v>181</v>
      </c>
      <c r="C12" t="s">
        <v>182</v>
      </c>
      <c r="D12">
        <v>0</v>
      </c>
      <c r="E12" t="s">
        <v>467</v>
      </c>
      <c r="F12">
        <v>15</v>
      </c>
      <c r="J12" t="s">
        <v>383</v>
      </c>
      <c r="K12" t="s">
        <v>494</v>
      </c>
      <c r="L12" t="s">
        <v>468</v>
      </c>
      <c r="M12">
        <v>15</v>
      </c>
      <c r="N12" t="s">
        <v>490</v>
      </c>
    </row>
    <row r="13" spans="1:14" x14ac:dyDescent="0.3">
      <c r="A13" t="s">
        <v>384</v>
      </c>
      <c r="B13" t="s">
        <v>129</v>
      </c>
      <c r="C13" t="s">
        <v>130</v>
      </c>
      <c r="D13">
        <v>0</v>
      </c>
      <c r="E13" t="s">
        <v>455</v>
      </c>
      <c r="F13">
        <v>50</v>
      </c>
      <c r="J13" t="s">
        <v>384</v>
      </c>
      <c r="K13" t="s">
        <v>495</v>
      </c>
      <c r="L13" t="s">
        <v>456</v>
      </c>
      <c r="M13">
        <v>50</v>
      </c>
      <c r="N13" t="s">
        <v>490</v>
      </c>
    </row>
    <row r="14" spans="1:14" x14ac:dyDescent="0.3">
      <c r="A14" t="s">
        <v>384</v>
      </c>
      <c r="B14" t="s">
        <v>129</v>
      </c>
      <c r="C14" t="s">
        <v>130</v>
      </c>
      <c r="D14">
        <v>0</v>
      </c>
      <c r="E14" t="s">
        <v>458</v>
      </c>
      <c r="F14">
        <v>50</v>
      </c>
      <c r="J14" t="s">
        <v>384</v>
      </c>
      <c r="K14" t="s">
        <v>495</v>
      </c>
      <c r="L14" t="s">
        <v>459</v>
      </c>
      <c r="M14">
        <v>50</v>
      </c>
      <c r="N14" t="s">
        <v>490</v>
      </c>
    </row>
    <row r="15" spans="1:14" x14ac:dyDescent="0.3">
      <c r="A15" t="s">
        <v>384</v>
      </c>
      <c r="B15" t="s">
        <v>129</v>
      </c>
      <c r="C15" t="s">
        <v>130</v>
      </c>
      <c r="D15">
        <v>0</v>
      </c>
      <c r="E15" t="s">
        <v>467</v>
      </c>
      <c r="F15">
        <v>20</v>
      </c>
      <c r="J15" t="s">
        <v>384</v>
      </c>
      <c r="K15" t="s">
        <v>495</v>
      </c>
      <c r="L15" t="s">
        <v>468</v>
      </c>
      <c r="M15">
        <v>20</v>
      </c>
      <c r="N15" t="s">
        <v>490</v>
      </c>
    </row>
    <row r="16" spans="1:14" x14ac:dyDescent="0.3">
      <c r="A16" t="s">
        <v>385</v>
      </c>
      <c r="B16" t="s">
        <v>68</v>
      </c>
      <c r="C16" t="s">
        <v>69</v>
      </c>
      <c r="D16">
        <v>0</v>
      </c>
      <c r="E16" t="s">
        <v>452</v>
      </c>
      <c r="F16">
        <v>100</v>
      </c>
      <c r="J16" t="s">
        <v>385</v>
      </c>
      <c r="K16" t="s">
        <v>496</v>
      </c>
      <c r="L16" t="s">
        <v>453</v>
      </c>
      <c r="M16">
        <v>100</v>
      </c>
      <c r="N16" t="s">
        <v>490</v>
      </c>
    </row>
    <row r="17" spans="1:14" x14ac:dyDescent="0.3">
      <c r="A17" t="s">
        <v>385</v>
      </c>
      <c r="B17" t="s">
        <v>68</v>
      </c>
      <c r="C17" t="s">
        <v>69</v>
      </c>
      <c r="D17">
        <v>0</v>
      </c>
      <c r="E17" t="s">
        <v>458</v>
      </c>
      <c r="F17">
        <v>35</v>
      </c>
      <c r="J17" t="s">
        <v>385</v>
      </c>
      <c r="K17" t="s">
        <v>496</v>
      </c>
      <c r="L17" t="s">
        <v>459</v>
      </c>
      <c r="M17">
        <v>35</v>
      </c>
      <c r="N17" t="s">
        <v>490</v>
      </c>
    </row>
    <row r="18" spans="1:14" x14ac:dyDescent="0.3">
      <c r="A18" t="s">
        <v>386</v>
      </c>
      <c r="B18" t="s">
        <v>78</v>
      </c>
      <c r="C18" t="s">
        <v>79</v>
      </c>
      <c r="D18">
        <v>0</v>
      </c>
      <c r="E18" t="s">
        <v>452</v>
      </c>
      <c r="F18">
        <v>50</v>
      </c>
      <c r="J18" t="s">
        <v>386</v>
      </c>
      <c r="K18" t="s">
        <v>497</v>
      </c>
      <c r="L18" t="s">
        <v>453</v>
      </c>
      <c r="M18">
        <v>50</v>
      </c>
      <c r="N18" t="s">
        <v>490</v>
      </c>
    </row>
    <row r="19" spans="1:14" x14ac:dyDescent="0.3">
      <c r="A19" t="s">
        <v>386</v>
      </c>
      <c r="B19" t="s">
        <v>78</v>
      </c>
      <c r="C19" t="s">
        <v>79</v>
      </c>
      <c r="D19">
        <v>0</v>
      </c>
      <c r="E19" t="s">
        <v>458</v>
      </c>
      <c r="F19">
        <v>15</v>
      </c>
      <c r="J19" t="s">
        <v>386</v>
      </c>
      <c r="K19" t="s">
        <v>497</v>
      </c>
      <c r="L19" t="s">
        <v>459</v>
      </c>
      <c r="M19">
        <v>15</v>
      </c>
      <c r="N19" t="s">
        <v>490</v>
      </c>
    </row>
    <row r="20" spans="1:14" x14ac:dyDescent="0.3">
      <c r="A20" t="s">
        <v>387</v>
      </c>
      <c r="B20" t="s">
        <v>177</v>
      </c>
      <c r="C20" t="s">
        <v>178</v>
      </c>
      <c r="D20">
        <v>0</v>
      </c>
      <c r="E20" t="s">
        <v>452</v>
      </c>
      <c r="F20">
        <v>50</v>
      </c>
      <c r="J20" t="s">
        <v>387</v>
      </c>
      <c r="K20" t="s">
        <v>498</v>
      </c>
      <c r="L20" t="s">
        <v>453</v>
      </c>
      <c r="M20">
        <v>50</v>
      </c>
      <c r="N20" t="s">
        <v>490</v>
      </c>
    </row>
    <row r="21" spans="1:14" x14ac:dyDescent="0.3">
      <c r="A21" t="s">
        <v>387</v>
      </c>
      <c r="B21" t="s">
        <v>177</v>
      </c>
      <c r="C21" t="s">
        <v>178</v>
      </c>
      <c r="D21">
        <v>0</v>
      </c>
      <c r="E21" t="s">
        <v>458</v>
      </c>
      <c r="F21">
        <v>20</v>
      </c>
      <c r="J21" t="s">
        <v>387</v>
      </c>
      <c r="K21" t="s">
        <v>498</v>
      </c>
      <c r="L21" t="s">
        <v>459</v>
      </c>
      <c r="M21">
        <v>20</v>
      </c>
      <c r="N21" t="s">
        <v>490</v>
      </c>
    </row>
    <row r="22" spans="1:14" x14ac:dyDescent="0.3">
      <c r="A22" t="s">
        <v>387</v>
      </c>
      <c r="B22" t="s">
        <v>177</v>
      </c>
      <c r="C22" t="s">
        <v>178</v>
      </c>
      <c r="D22">
        <v>0</v>
      </c>
      <c r="E22" t="s">
        <v>467</v>
      </c>
      <c r="F22">
        <v>20</v>
      </c>
      <c r="J22" t="s">
        <v>387</v>
      </c>
      <c r="K22" t="s">
        <v>498</v>
      </c>
      <c r="L22" t="s">
        <v>468</v>
      </c>
      <c r="M22">
        <v>20</v>
      </c>
      <c r="N22" t="s">
        <v>490</v>
      </c>
    </row>
    <row r="23" spans="1:14" x14ac:dyDescent="0.3">
      <c r="A23" t="s">
        <v>388</v>
      </c>
      <c r="B23" t="s">
        <v>212</v>
      </c>
      <c r="C23" t="s">
        <v>210</v>
      </c>
      <c r="D23">
        <v>0</v>
      </c>
      <c r="E23" t="s">
        <v>452</v>
      </c>
      <c r="F23">
        <v>75</v>
      </c>
      <c r="J23" t="s">
        <v>388</v>
      </c>
      <c r="K23" t="s">
        <v>499</v>
      </c>
      <c r="L23" t="s">
        <v>453</v>
      </c>
      <c r="M23">
        <v>75</v>
      </c>
      <c r="N23" t="s">
        <v>490</v>
      </c>
    </row>
    <row r="24" spans="1:14" x14ac:dyDescent="0.3">
      <c r="A24" t="s">
        <v>388</v>
      </c>
      <c r="B24" t="s">
        <v>212</v>
      </c>
      <c r="C24" t="s">
        <v>210</v>
      </c>
      <c r="D24">
        <v>0</v>
      </c>
      <c r="E24" t="s">
        <v>455</v>
      </c>
      <c r="F24">
        <v>40</v>
      </c>
      <c r="J24" t="s">
        <v>388</v>
      </c>
      <c r="K24" t="s">
        <v>499</v>
      </c>
      <c r="L24" t="s">
        <v>456</v>
      </c>
      <c r="M24">
        <v>40</v>
      </c>
      <c r="N24" t="s">
        <v>490</v>
      </c>
    </row>
    <row r="25" spans="1:14" x14ac:dyDescent="0.3">
      <c r="A25" t="s">
        <v>388</v>
      </c>
      <c r="B25" t="s">
        <v>212</v>
      </c>
      <c r="C25" t="s">
        <v>210</v>
      </c>
      <c r="D25">
        <v>0</v>
      </c>
      <c r="E25" t="s">
        <v>458</v>
      </c>
      <c r="F25">
        <v>50</v>
      </c>
      <c r="J25" t="s">
        <v>388</v>
      </c>
      <c r="K25" t="s">
        <v>499</v>
      </c>
      <c r="L25" t="s">
        <v>459</v>
      </c>
      <c r="M25">
        <v>50</v>
      </c>
      <c r="N25" t="s">
        <v>490</v>
      </c>
    </row>
    <row r="26" spans="1:14" x14ac:dyDescent="0.3">
      <c r="A26" t="s">
        <v>388</v>
      </c>
      <c r="B26" t="s">
        <v>212</v>
      </c>
      <c r="C26" t="s">
        <v>210</v>
      </c>
      <c r="D26">
        <v>0</v>
      </c>
      <c r="E26" t="s">
        <v>467</v>
      </c>
      <c r="F26">
        <v>80</v>
      </c>
      <c r="J26" t="s">
        <v>388</v>
      </c>
      <c r="K26" t="s">
        <v>499</v>
      </c>
      <c r="L26" t="s">
        <v>468</v>
      </c>
      <c r="M26">
        <v>80</v>
      </c>
      <c r="N26" t="s">
        <v>490</v>
      </c>
    </row>
    <row r="27" spans="1:14" x14ac:dyDescent="0.3">
      <c r="A27" t="s">
        <v>389</v>
      </c>
      <c r="B27" t="s">
        <v>164</v>
      </c>
      <c r="C27" t="s">
        <v>165</v>
      </c>
      <c r="D27">
        <v>0</v>
      </c>
      <c r="E27" t="s">
        <v>461</v>
      </c>
      <c r="F27">
        <v>50</v>
      </c>
      <c r="J27" t="s">
        <v>389</v>
      </c>
      <c r="K27" t="s">
        <v>500</v>
      </c>
      <c r="L27" t="s">
        <v>462</v>
      </c>
      <c r="M27">
        <v>50</v>
      </c>
      <c r="N27" t="s">
        <v>490</v>
      </c>
    </row>
    <row r="28" spans="1:14" x14ac:dyDescent="0.3">
      <c r="A28" t="s">
        <v>389</v>
      </c>
      <c r="B28" t="s">
        <v>164</v>
      </c>
      <c r="C28" t="s">
        <v>165</v>
      </c>
      <c r="D28">
        <v>0</v>
      </c>
      <c r="E28" t="s">
        <v>464</v>
      </c>
      <c r="F28">
        <v>50</v>
      </c>
      <c r="J28" t="s">
        <v>389</v>
      </c>
      <c r="K28" t="s">
        <v>500</v>
      </c>
      <c r="L28" t="s">
        <v>465</v>
      </c>
      <c r="M28">
        <v>50</v>
      </c>
      <c r="N28" t="s">
        <v>490</v>
      </c>
    </row>
    <row r="29" spans="1:14" x14ac:dyDescent="0.3">
      <c r="A29" t="s">
        <v>389</v>
      </c>
      <c r="B29" t="s">
        <v>164</v>
      </c>
      <c r="C29" t="s">
        <v>165</v>
      </c>
      <c r="D29">
        <v>0</v>
      </c>
      <c r="E29" t="s">
        <v>467</v>
      </c>
      <c r="F29">
        <v>100</v>
      </c>
      <c r="J29" t="s">
        <v>389</v>
      </c>
      <c r="K29" t="s">
        <v>500</v>
      </c>
      <c r="L29" t="s">
        <v>468</v>
      </c>
      <c r="M29">
        <v>100</v>
      </c>
      <c r="N29" t="s">
        <v>490</v>
      </c>
    </row>
    <row r="30" spans="1:14" x14ac:dyDescent="0.3">
      <c r="A30" t="s">
        <v>390</v>
      </c>
      <c r="B30" t="s">
        <v>292</v>
      </c>
      <c r="C30" t="s">
        <v>293</v>
      </c>
      <c r="D30">
        <v>0</v>
      </c>
      <c r="E30" t="s">
        <v>452</v>
      </c>
      <c r="F30">
        <v>20</v>
      </c>
      <c r="J30" t="s">
        <v>390</v>
      </c>
      <c r="K30" t="s">
        <v>501</v>
      </c>
      <c r="L30" t="s">
        <v>453</v>
      </c>
      <c r="M30">
        <v>20</v>
      </c>
      <c r="N30" t="s">
        <v>490</v>
      </c>
    </row>
    <row r="31" spans="1:14" x14ac:dyDescent="0.3">
      <c r="A31" t="s">
        <v>390</v>
      </c>
      <c r="B31" t="s">
        <v>292</v>
      </c>
      <c r="C31" t="s">
        <v>293</v>
      </c>
      <c r="D31">
        <v>0</v>
      </c>
      <c r="E31" t="s">
        <v>458</v>
      </c>
      <c r="F31">
        <v>15</v>
      </c>
      <c r="J31" t="s">
        <v>390</v>
      </c>
      <c r="K31" t="s">
        <v>501</v>
      </c>
      <c r="L31" t="s">
        <v>459</v>
      </c>
      <c r="M31">
        <v>15</v>
      </c>
      <c r="N31" t="s">
        <v>490</v>
      </c>
    </row>
    <row r="32" spans="1:14" x14ac:dyDescent="0.3">
      <c r="A32" t="s">
        <v>390</v>
      </c>
      <c r="B32" t="s">
        <v>292</v>
      </c>
      <c r="C32" t="s">
        <v>293</v>
      </c>
      <c r="D32">
        <v>0</v>
      </c>
      <c r="E32" t="s">
        <v>461</v>
      </c>
      <c r="F32">
        <v>50</v>
      </c>
      <c r="J32" t="s">
        <v>390</v>
      </c>
      <c r="K32" t="s">
        <v>501</v>
      </c>
      <c r="L32" t="s">
        <v>462</v>
      </c>
      <c r="M32">
        <v>50</v>
      </c>
      <c r="N32" t="s">
        <v>490</v>
      </c>
    </row>
    <row r="33" spans="1:14" x14ac:dyDescent="0.3">
      <c r="A33" t="s">
        <v>390</v>
      </c>
      <c r="B33" t="s">
        <v>292</v>
      </c>
      <c r="C33" t="s">
        <v>293</v>
      </c>
      <c r="D33">
        <v>0</v>
      </c>
      <c r="E33" t="s">
        <v>464</v>
      </c>
      <c r="F33">
        <v>50</v>
      </c>
      <c r="J33" t="s">
        <v>390</v>
      </c>
      <c r="K33" t="s">
        <v>501</v>
      </c>
      <c r="L33" t="s">
        <v>465</v>
      </c>
      <c r="M33">
        <v>50</v>
      </c>
      <c r="N33" t="s">
        <v>490</v>
      </c>
    </row>
    <row r="34" spans="1:14" x14ac:dyDescent="0.3">
      <c r="A34" t="s">
        <v>391</v>
      </c>
      <c r="B34" t="s">
        <v>255</v>
      </c>
      <c r="C34" t="s">
        <v>256</v>
      </c>
      <c r="D34">
        <v>0</v>
      </c>
      <c r="E34" t="s">
        <v>461</v>
      </c>
      <c r="F34">
        <v>100</v>
      </c>
      <c r="J34" t="s">
        <v>391</v>
      </c>
      <c r="K34" t="s">
        <v>502</v>
      </c>
      <c r="L34" t="s">
        <v>462</v>
      </c>
      <c r="M34">
        <v>100</v>
      </c>
      <c r="N34" t="s">
        <v>490</v>
      </c>
    </row>
    <row r="35" spans="1:14" x14ac:dyDescent="0.3">
      <c r="A35" t="s">
        <v>391</v>
      </c>
      <c r="B35" t="s">
        <v>255</v>
      </c>
      <c r="C35" t="s">
        <v>256</v>
      </c>
      <c r="D35">
        <v>0</v>
      </c>
      <c r="E35" t="s">
        <v>464</v>
      </c>
      <c r="F35">
        <v>100</v>
      </c>
      <c r="J35" t="s">
        <v>391</v>
      </c>
      <c r="K35" t="s">
        <v>502</v>
      </c>
      <c r="L35" t="s">
        <v>465</v>
      </c>
      <c r="M35">
        <v>100</v>
      </c>
      <c r="N35" t="s">
        <v>490</v>
      </c>
    </row>
    <row r="36" spans="1:14" x14ac:dyDescent="0.3">
      <c r="A36" t="s">
        <v>392</v>
      </c>
      <c r="B36" t="s">
        <v>255</v>
      </c>
      <c r="C36" t="s">
        <v>256</v>
      </c>
      <c r="D36">
        <v>0</v>
      </c>
      <c r="E36" t="s">
        <v>479</v>
      </c>
      <c r="F36">
        <v>5</v>
      </c>
      <c r="J36" t="s">
        <v>392</v>
      </c>
      <c r="K36" t="s">
        <v>502</v>
      </c>
      <c r="L36" t="s">
        <v>480</v>
      </c>
      <c r="M36">
        <v>5</v>
      </c>
      <c r="N36" t="s">
        <v>490</v>
      </c>
    </row>
    <row r="37" spans="1:14" x14ac:dyDescent="0.3">
      <c r="A37" t="s">
        <v>392</v>
      </c>
      <c r="B37" t="s">
        <v>255</v>
      </c>
      <c r="C37" t="s">
        <v>256</v>
      </c>
      <c r="D37">
        <v>0</v>
      </c>
      <c r="E37" t="s">
        <v>482</v>
      </c>
      <c r="F37">
        <v>5</v>
      </c>
      <c r="J37" t="s">
        <v>392</v>
      </c>
      <c r="K37" t="s">
        <v>502</v>
      </c>
      <c r="L37" t="s">
        <v>483</v>
      </c>
      <c r="M37">
        <v>5</v>
      </c>
      <c r="N37" t="s">
        <v>490</v>
      </c>
    </row>
    <row r="38" spans="1:14" x14ac:dyDescent="0.3">
      <c r="A38" t="s">
        <v>393</v>
      </c>
      <c r="B38" t="s">
        <v>250</v>
      </c>
      <c r="C38" t="s">
        <v>251</v>
      </c>
      <c r="D38" t="s">
        <v>34</v>
      </c>
      <c r="E38" t="s">
        <v>452</v>
      </c>
      <c r="F38">
        <v>60</v>
      </c>
      <c r="J38" t="s">
        <v>503</v>
      </c>
      <c r="K38" t="s">
        <v>504</v>
      </c>
      <c r="L38" t="s">
        <v>453</v>
      </c>
      <c r="M38">
        <v>60</v>
      </c>
      <c r="N38" t="s">
        <v>490</v>
      </c>
    </row>
    <row r="39" spans="1:14" x14ac:dyDescent="0.3">
      <c r="A39" t="s">
        <v>393</v>
      </c>
      <c r="B39" t="s">
        <v>250</v>
      </c>
      <c r="C39" t="s">
        <v>251</v>
      </c>
      <c r="D39" t="s">
        <v>34</v>
      </c>
      <c r="E39" t="s">
        <v>455</v>
      </c>
      <c r="F39">
        <v>60</v>
      </c>
      <c r="J39" t="s">
        <v>503</v>
      </c>
      <c r="K39" t="s">
        <v>504</v>
      </c>
      <c r="L39" t="s">
        <v>456</v>
      </c>
      <c r="M39">
        <v>60</v>
      </c>
      <c r="N39" t="s">
        <v>490</v>
      </c>
    </row>
    <row r="40" spans="1:14" x14ac:dyDescent="0.3">
      <c r="A40" t="s">
        <v>393</v>
      </c>
      <c r="B40" t="s">
        <v>250</v>
      </c>
      <c r="C40" t="s">
        <v>251</v>
      </c>
      <c r="D40" t="s">
        <v>34</v>
      </c>
      <c r="E40" t="s">
        <v>458</v>
      </c>
      <c r="F40">
        <v>30</v>
      </c>
      <c r="J40" t="s">
        <v>503</v>
      </c>
      <c r="K40" t="s">
        <v>504</v>
      </c>
      <c r="L40" t="s">
        <v>459</v>
      </c>
      <c r="M40">
        <v>30</v>
      </c>
      <c r="N40" t="s">
        <v>490</v>
      </c>
    </row>
    <row r="41" spans="1:14" x14ac:dyDescent="0.3">
      <c r="A41" t="s">
        <v>394</v>
      </c>
      <c r="B41" t="s">
        <v>248</v>
      </c>
      <c r="C41" t="s">
        <v>249</v>
      </c>
      <c r="D41">
        <v>0</v>
      </c>
      <c r="E41" t="s">
        <v>452</v>
      </c>
      <c r="F41">
        <v>50</v>
      </c>
      <c r="J41" t="s">
        <v>394</v>
      </c>
      <c r="K41" t="s">
        <v>505</v>
      </c>
      <c r="L41" t="s">
        <v>453</v>
      </c>
      <c r="M41">
        <v>50</v>
      </c>
      <c r="N41" t="s">
        <v>490</v>
      </c>
    </row>
    <row r="42" spans="1:14" x14ac:dyDescent="0.3">
      <c r="A42" t="s">
        <v>394</v>
      </c>
      <c r="B42" t="s">
        <v>248</v>
      </c>
      <c r="C42" t="s">
        <v>249</v>
      </c>
      <c r="D42">
        <v>0</v>
      </c>
      <c r="E42" t="s">
        <v>458</v>
      </c>
      <c r="F42">
        <v>48</v>
      </c>
      <c r="J42" t="s">
        <v>394</v>
      </c>
      <c r="K42" t="s">
        <v>505</v>
      </c>
      <c r="L42" t="s">
        <v>459</v>
      </c>
      <c r="M42">
        <v>48</v>
      </c>
      <c r="N42" t="s">
        <v>490</v>
      </c>
    </row>
    <row r="43" spans="1:14" x14ac:dyDescent="0.3">
      <c r="A43" t="s">
        <v>395</v>
      </c>
      <c r="B43" t="s">
        <v>172</v>
      </c>
      <c r="C43" t="s">
        <v>173</v>
      </c>
      <c r="D43">
        <v>0</v>
      </c>
      <c r="E43" t="s">
        <v>452</v>
      </c>
      <c r="F43">
        <v>10</v>
      </c>
      <c r="J43" t="s">
        <v>395</v>
      </c>
      <c r="K43" t="s">
        <v>506</v>
      </c>
      <c r="L43" t="s">
        <v>453</v>
      </c>
      <c r="M43">
        <v>10</v>
      </c>
      <c r="N43" t="s">
        <v>490</v>
      </c>
    </row>
    <row r="44" spans="1:14" x14ac:dyDescent="0.3">
      <c r="A44" t="s">
        <v>395</v>
      </c>
      <c r="B44" t="s">
        <v>172</v>
      </c>
      <c r="C44" t="s">
        <v>173</v>
      </c>
      <c r="D44">
        <v>0</v>
      </c>
      <c r="E44" t="s">
        <v>455</v>
      </c>
      <c r="F44">
        <v>10</v>
      </c>
      <c r="J44" t="s">
        <v>395</v>
      </c>
      <c r="K44" t="s">
        <v>506</v>
      </c>
      <c r="L44" t="s">
        <v>456</v>
      </c>
      <c r="M44">
        <v>10</v>
      </c>
      <c r="N44" t="s">
        <v>490</v>
      </c>
    </row>
    <row r="45" spans="1:14" x14ac:dyDescent="0.3">
      <c r="A45" t="s">
        <v>395</v>
      </c>
      <c r="B45" t="s">
        <v>172</v>
      </c>
      <c r="C45" t="s">
        <v>173</v>
      </c>
      <c r="D45">
        <v>0</v>
      </c>
      <c r="E45" t="s">
        <v>458</v>
      </c>
      <c r="F45">
        <v>30</v>
      </c>
      <c r="J45" t="s">
        <v>395</v>
      </c>
      <c r="K45" t="s">
        <v>506</v>
      </c>
      <c r="L45" t="s">
        <v>459</v>
      </c>
      <c r="M45">
        <v>30</v>
      </c>
      <c r="N45" t="s">
        <v>490</v>
      </c>
    </row>
    <row r="46" spans="1:14" x14ac:dyDescent="0.3">
      <c r="A46" t="s">
        <v>396</v>
      </c>
      <c r="B46" t="s">
        <v>284</v>
      </c>
      <c r="C46" t="s">
        <v>285</v>
      </c>
      <c r="D46">
        <v>0</v>
      </c>
      <c r="E46" t="s">
        <v>458</v>
      </c>
      <c r="F46">
        <v>100</v>
      </c>
      <c r="J46" t="s">
        <v>396</v>
      </c>
      <c r="K46" t="s">
        <v>507</v>
      </c>
      <c r="L46" t="s">
        <v>459</v>
      </c>
      <c r="M46">
        <v>100</v>
      </c>
      <c r="N46" t="s">
        <v>490</v>
      </c>
    </row>
    <row r="47" spans="1:14" x14ac:dyDescent="0.3">
      <c r="A47" t="s">
        <v>397</v>
      </c>
      <c r="B47" t="s">
        <v>225</v>
      </c>
      <c r="C47" t="s">
        <v>226</v>
      </c>
      <c r="D47">
        <v>0</v>
      </c>
      <c r="E47" t="s">
        <v>458</v>
      </c>
      <c r="F47">
        <v>100</v>
      </c>
      <c r="J47" t="s">
        <v>397</v>
      </c>
      <c r="K47" t="s">
        <v>508</v>
      </c>
      <c r="L47" t="s">
        <v>459</v>
      </c>
      <c r="M47">
        <v>100</v>
      </c>
      <c r="N47" t="s">
        <v>490</v>
      </c>
    </row>
    <row r="48" spans="1:14" x14ac:dyDescent="0.3">
      <c r="A48" t="s">
        <v>398</v>
      </c>
      <c r="B48" t="s">
        <v>101</v>
      </c>
      <c r="C48" t="s">
        <v>102</v>
      </c>
      <c r="D48">
        <v>0</v>
      </c>
      <c r="E48" t="s">
        <v>452</v>
      </c>
      <c r="F48">
        <v>100</v>
      </c>
      <c r="J48" t="s">
        <v>398</v>
      </c>
      <c r="K48" t="s">
        <v>509</v>
      </c>
      <c r="L48" t="s">
        <v>453</v>
      </c>
      <c r="M48">
        <v>100</v>
      </c>
      <c r="N48" t="s">
        <v>490</v>
      </c>
    </row>
    <row r="49" spans="1:14" x14ac:dyDescent="0.3">
      <c r="A49" t="s">
        <v>399</v>
      </c>
      <c r="B49" t="s">
        <v>400</v>
      </c>
      <c r="C49" t="s">
        <v>401</v>
      </c>
      <c r="D49">
        <v>0</v>
      </c>
      <c r="E49" t="s">
        <v>452</v>
      </c>
      <c r="F49">
        <v>50</v>
      </c>
      <c r="J49" t="s">
        <v>399</v>
      </c>
      <c r="K49" t="s">
        <v>510</v>
      </c>
      <c r="L49" t="s">
        <v>453</v>
      </c>
      <c r="M49">
        <v>50</v>
      </c>
      <c r="N49" t="s">
        <v>490</v>
      </c>
    </row>
    <row r="50" spans="1:14" x14ac:dyDescent="0.3">
      <c r="A50" t="s">
        <v>399</v>
      </c>
      <c r="B50" t="s">
        <v>400</v>
      </c>
      <c r="C50" t="s">
        <v>401</v>
      </c>
      <c r="D50">
        <v>0</v>
      </c>
      <c r="E50" t="s">
        <v>455</v>
      </c>
      <c r="F50">
        <v>50</v>
      </c>
      <c r="J50" t="s">
        <v>399</v>
      </c>
      <c r="K50" t="s">
        <v>510</v>
      </c>
      <c r="L50" t="s">
        <v>456</v>
      </c>
      <c r="M50">
        <v>50</v>
      </c>
      <c r="N50" t="s">
        <v>490</v>
      </c>
    </row>
    <row r="51" spans="1:14" x14ac:dyDescent="0.3">
      <c r="A51" t="s">
        <v>399</v>
      </c>
      <c r="B51" t="s">
        <v>400</v>
      </c>
      <c r="C51" t="s">
        <v>401</v>
      </c>
      <c r="D51">
        <v>0</v>
      </c>
      <c r="E51" t="s">
        <v>458</v>
      </c>
      <c r="F51">
        <v>50</v>
      </c>
      <c r="J51" t="s">
        <v>399</v>
      </c>
      <c r="K51" t="s">
        <v>510</v>
      </c>
      <c r="L51" t="s">
        <v>459</v>
      </c>
      <c r="M51">
        <v>50</v>
      </c>
      <c r="N51" t="s">
        <v>490</v>
      </c>
    </row>
    <row r="52" spans="1:14" x14ac:dyDescent="0.3">
      <c r="A52" t="s">
        <v>399</v>
      </c>
      <c r="B52" t="s">
        <v>400</v>
      </c>
      <c r="C52" t="s">
        <v>401</v>
      </c>
      <c r="D52">
        <v>0</v>
      </c>
      <c r="E52" t="s">
        <v>467</v>
      </c>
      <c r="F52">
        <v>25</v>
      </c>
      <c r="J52" t="s">
        <v>399</v>
      </c>
      <c r="K52" t="s">
        <v>510</v>
      </c>
      <c r="L52" t="s">
        <v>468</v>
      </c>
      <c r="M52">
        <v>25</v>
      </c>
      <c r="N52" t="s">
        <v>490</v>
      </c>
    </row>
    <row r="53" spans="1:14" x14ac:dyDescent="0.3">
      <c r="A53" t="s">
        <v>403</v>
      </c>
      <c r="B53" t="s">
        <v>169</v>
      </c>
      <c r="C53" t="s">
        <v>170</v>
      </c>
      <c r="D53">
        <v>0</v>
      </c>
      <c r="E53" t="s">
        <v>458</v>
      </c>
      <c r="F53">
        <v>15</v>
      </c>
      <c r="J53" t="s">
        <v>403</v>
      </c>
      <c r="K53" t="s">
        <v>511</v>
      </c>
      <c r="L53" t="s">
        <v>459</v>
      </c>
      <c r="M53">
        <v>15</v>
      </c>
      <c r="N53" t="s">
        <v>490</v>
      </c>
    </row>
    <row r="54" spans="1:14" x14ac:dyDescent="0.3">
      <c r="A54" t="s">
        <v>403</v>
      </c>
      <c r="B54" t="s">
        <v>169</v>
      </c>
      <c r="C54" t="s">
        <v>170</v>
      </c>
      <c r="D54">
        <v>0</v>
      </c>
      <c r="E54" t="s">
        <v>467</v>
      </c>
      <c r="F54">
        <v>30</v>
      </c>
      <c r="J54" t="s">
        <v>403</v>
      </c>
      <c r="K54" t="s">
        <v>511</v>
      </c>
      <c r="L54" t="s">
        <v>468</v>
      </c>
      <c r="M54">
        <v>30</v>
      </c>
      <c r="N54" t="s">
        <v>490</v>
      </c>
    </row>
    <row r="55" spans="1:14" x14ac:dyDescent="0.3">
      <c r="A55" t="s">
        <v>404</v>
      </c>
      <c r="B55" t="s">
        <v>214</v>
      </c>
      <c r="C55" t="s">
        <v>215</v>
      </c>
      <c r="D55">
        <v>0</v>
      </c>
      <c r="E55" t="s">
        <v>455</v>
      </c>
      <c r="F55">
        <v>20</v>
      </c>
      <c r="J55" t="s">
        <v>404</v>
      </c>
      <c r="K55" t="s">
        <v>512</v>
      </c>
      <c r="L55" t="s">
        <v>456</v>
      </c>
      <c r="M55">
        <v>20</v>
      </c>
      <c r="N55" t="s">
        <v>490</v>
      </c>
    </row>
    <row r="56" spans="1:14" x14ac:dyDescent="0.3">
      <c r="A56" t="s">
        <v>404</v>
      </c>
      <c r="B56" t="s">
        <v>214</v>
      </c>
      <c r="C56" t="s">
        <v>215</v>
      </c>
      <c r="D56">
        <v>0</v>
      </c>
      <c r="E56" t="s">
        <v>458</v>
      </c>
      <c r="F56">
        <v>20</v>
      </c>
      <c r="J56" t="s">
        <v>404</v>
      </c>
      <c r="K56" t="s">
        <v>512</v>
      </c>
      <c r="L56" t="s">
        <v>459</v>
      </c>
      <c r="M56">
        <v>20</v>
      </c>
      <c r="N56" t="s">
        <v>490</v>
      </c>
    </row>
    <row r="57" spans="1:14" x14ac:dyDescent="0.3">
      <c r="A57" t="s">
        <v>404</v>
      </c>
      <c r="B57" t="s">
        <v>214</v>
      </c>
      <c r="C57" t="s">
        <v>215</v>
      </c>
      <c r="D57">
        <v>0</v>
      </c>
      <c r="E57" t="s">
        <v>467</v>
      </c>
      <c r="F57">
        <v>10</v>
      </c>
      <c r="J57" t="s">
        <v>404</v>
      </c>
      <c r="K57" t="s">
        <v>512</v>
      </c>
      <c r="L57" t="s">
        <v>468</v>
      </c>
      <c r="M57">
        <v>10</v>
      </c>
      <c r="N57" t="s">
        <v>490</v>
      </c>
    </row>
    <row r="58" spans="1:14" x14ac:dyDescent="0.3">
      <c r="A58" t="s">
        <v>405</v>
      </c>
      <c r="B58" t="s">
        <v>224</v>
      </c>
      <c r="C58" t="s">
        <v>135</v>
      </c>
      <c r="D58">
        <v>0</v>
      </c>
      <c r="E58" t="s">
        <v>461</v>
      </c>
      <c r="F58">
        <v>167</v>
      </c>
      <c r="J58" t="s">
        <v>405</v>
      </c>
      <c r="K58" t="s">
        <v>513</v>
      </c>
      <c r="L58" t="s">
        <v>462</v>
      </c>
      <c r="M58">
        <v>167</v>
      </c>
      <c r="N58" t="s">
        <v>490</v>
      </c>
    </row>
    <row r="59" spans="1:14" x14ac:dyDescent="0.3">
      <c r="A59" t="s">
        <v>405</v>
      </c>
      <c r="B59" t="s">
        <v>224</v>
      </c>
      <c r="C59" t="s">
        <v>135</v>
      </c>
      <c r="D59">
        <v>0</v>
      </c>
      <c r="E59" t="s">
        <v>464</v>
      </c>
      <c r="F59">
        <v>126</v>
      </c>
      <c r="J59" t="s">
        <v>405</v>
      </c>
      <c r="K59" t="s">
        <v>513</v>
      </c>
      <c r="L59" t="s">
        <v>465</v>
      </c>
      <c r="M59">
        <v>126</v>
      </c>
      <c r="N59" t="s">
        <v>490</v>
      </c>
    </row>
    <row r="60" spans="1:14" x14ac:dyDescent="0.3">
      <c r="A60" t="s">
        <v>405</v>
      </c>
      <c r="B60" t="s">
        <v>224</v>
      </c>
      <c r="C60" t="s">
        <v>135</v>
      </c>
      <c r="D60">
        <v>0</v>
      </c>
      <c r="E60" t="s">
        <v>467</v>
      </c>
      <c r="F60">
        <v>15</v>
      </c>
      <c r="J60" t="s">
        <v>405</v>
      </c>
      <c r="K60" t="s">
        <v>513</v>
      </c>
      <c r="L60" t="s">
        <v>468</v>
      </c>
      <c r="M60">
        <v>15</v>
      </c>
      <c r="N60" t="s">
        <v>490</v>
      </c>
    </row>
    <row r="61" spans="1:14" x14ac:dyDescent="0.3">
      <c r="A61" t="s">
        <v>406</v>
      </c>
      <c r="B61" t="s">
        <v>90</v>
      </c>
      <c r="C61" t="s">
        <v>91</v>
      </c>
      <c r="D61">
        <v>0</v>
      </c>
      <c r="E61" t="s">
        <v>461</v>
      </c>
      <c r="F61">
        <v>71</v>
      </c>
      <c r="J61" t="s">
        <v>406</v>
      </c>
      <c r="K61" t="s">
        <v>514</v>
      </c>
      <c r="L61" t="s">
        <v>462</v>
      </c>
      <c r="M61">
        <v>71</v>
      </c>
      <c r="N61" t="s">
        <v>490</v>
      </c>
    </row>
    <row r="62" spans="1:14" x14ac:dyDescent="0.3">
      <c r="A62" t="s">
        <v>406</v>
      </c>
      <c r="B62" t="s">
        <v>90</v>
      </c>
      <c r="C62" t="s">
        <v>91</v>
      </c>
      <c r="D62">
        <v>0</v>
      </c>
      <c r="E62" t="s">
        <v>464</v>
      </c>
      <c r="F62">
        <v>72</v>
      </c>
      <c r="J62" t="s">
        <v>406</v>
      </c>
      <c r="K62" t="s">
        <v>514</v>
      </c>
      <c r="L62" t="s">
        <v>465</v>
      </c>
      <c r="M62">
        <v>72</v>
      </c>
      <c r="N62" t="s">
        <v>490</v>
      </c>
    </row>
    <row r="63" spans="1:14" x14ac:dyDescent="0.3">
      <c r="A63" t="s">
        <v>406</v>
      </c>
      <c r="B63" t="s">
        <v>90</v>
      </c>
      <c r="C63" t="s">
        <v>91</v>
      </c>
      <c r="D63">
        <v>0</v>
      </c>
      <c r="E63" t="s">
        <v>467</v>
      </c>
      <c r="F63">
        <v>16</v>
      </c>
      <c r="J63" t="s">
        <v>406</v>
      </c>
      <c r="K63" t="s">
        <v>514</v>
      </c>
      <c r="L63" t="s">
        <v>468</v>
      </c>
      <c r="M63">
        <v>16</v>
      </c>
      <c r="N63" t="s">
        <v>490</v>
      </c>
    </row>
    <row r="64" spans="1:14" x14ac:dyDescent="0.3">
      <c r="A64" t="s">
        <v>407</v>
      </c>
      <c r="B64" t="s">
        <v>179</v>
      </c>
      <c r="C64" t="s">
        <v>180</v>
      </c>
      <c r="D64">
        <v>0</v>
      </c>
      <c r="E64" t="s">
        <v>461</v>
      </c>
      <c r="F64">
        <v>88</v>
      </c>
      <c r="J64" t="s">
        <v>407</v>
      </c>
      <c r="K64" t="s">
        <v>515</v>
      </c>
      <c r="L64" t="s">
        <v>462</v>
      </c>
      <c r="M64">
        <v>88</v>
      </c>
      <c r="N64" t="s">
        <v>490</v>
      </c>
    </row>
    <row r="65" spans="1:14" x14ac:dyDescent="0.3">
      <c r="A65" t="s">
        <v>407</v>
      </c>
      <c r="B65" t="s">
        <v>179</v>
      </c>
      <c r="C65" t="s">
        <v>180</v>
      </c>
      <c r="D65">
        <v>0</v>
      </c>
      <c r="E65" t="s">
        <v>464</v>
      </c>
      <c r="F65">
        <v>110</v>
      </c>
      <c r="J65" t="s">
        <v>407</v>
      </c>
      <c r="K65" t="s">
        <v>515</v>
      </c>
      <c r="L65" t="s">
        <v>465</v>
      </c>
      <c r="M65">
        <v>110</v>
      </c>
      <c r="N65" t="s">
        <v>490</v>
      </c>
    </row>
    <row r="66" spans="1:14" x14ac:dyDescent="0.3">
      <c r="A66" t="s">
        <v>407</v>
      </c>
      <c r="B66" t="s">
        <v>179</v>
      </c>
      <c r="C66" t="s">
        <v>180</v>
      </c>
      <c r="D66">
        <v>0</v>
      </c>
      <c r="E66" t="s">
        <v>467</v>
      </c>
      <c r="F66">
        <v>17</v>
      </c>
      <c r="J66" t="s">
        <v>407</v>
      </c>
      <c r="K66" t="s">
        <v>515</v>
      </c>
      <c r="L66" t="s">
        <v>468</v>
      </c>
      <c r="M66">
        <v>17</v>
      </c>
      <c r="N66" t="s">
        <v>490</v>
      </c>
    </row>
    <row r="67" spans="1:14" x14ac:dyDescent="0.3">
      <c r="A67" t="s">
        <v>408</v>
      </c>
      <c r="B67" t="s">
        <v>6</v>
      </c>
      <c r="C67" t="s">
        <v>17</v>
      </c>
      <c r="D67">
        <v>0</v>
      </c>
      <c r="E67" t="s">
        <v>461</v>
      </c>
      <c r="F67">
        <v>64</v>
      </c>
      <c r="J67" t="s">
        <v>408</v>
      </c>
      <c r="K67" t="s">
        <v>516</v>
      </c>
      <c r="L67" t="s">
        <v>462</v>
      </c>
      <c r="M67">
        <v>64</v>
      </c>
      <c r="N67" t="s">
        <v>490</v>
      </c>
    </row>
    <row r="68" spans="1:14" x14ac:dyDescent="0.3">
      <c r="A68" t="s">
        <v>408</v>
      </c>
      <c r="B68" t="s">
        <v>6</v>
      </c>
      <c r="C68" t="s">
        <v>17</v>
      </c>
      <c r="D68">
        <v>0</v>
      </c>
      <c r="E68" t="s">
        <v>464</v>
      </c>
      <c r="F68">
        <v>61</v>
      </c>
      <c r="J68" t="s">
        <v>408</v>
      </c>
      <c r="K68" t="s">
        <v>516</v>
      </c>
      <c r="L68" t="s">
        <v>465</v>
      </c>
      <c r="M68">
        <v>61</v>
      </c>
      <c r="N68" t="s">
        <v>490</v>
      </c>
    </row>
    <row r="69" spans="1:14" x14ac:dyDescent="0.3">
      <c r="A69" t="s">
        <v>408</v>
      </c>
      <c r="B69" t="s">
        <v>6</v>
      </c>
      <c r="C69" t="s">
        <v>17</v>
      </c>
      <c r="D69">
        <v>0</v>
      </c>
      <c r="E69" t="s">
        <v>467</v>
      </c>
      <c r="F69">
        <v>40</v>
      </c>
      <c r="J69" t="s">
        <v>408</v>
      </c>
      <c r="K69" t="s">
        <v>516</v>
      </c>
      <c r="L69" t="s">
        <v>468</v>
      </c>
      <c r="M69">
        <v>40</v>
      </c>
      <c r="N69" t="s">
        <v>490</v>
      </c>
    </row>
    <row r="70" spans="1:14" x14ac:dyDescent="0.3">
      <c r="A70" t="s">
        <v>409</v>
      </c>
      <c r="B70" t="s">
        <v>70</v>
      </c>
      <c r="C70" t="s">
        <v>71</v>
      </c>
      <c r="D70">
        <v>0</v>
      </c>
      <c r="E70" t="s">
        <v>461</v>
      </c>
      <c r="F70">
        <v>63</v>
      </c>
      <c r="J70" t="s">
        <v>409</v>
      </c>
      <c r="K70" t="s">
        <v>517</v>
      </c>
      <c r="L70" t="s">
        <v>462</v>
      </c>
      <c r="M70">
        <v>63</v>
      </c>
      <c r="N70" t="s">
        <v>490</v>
      </c>
    </row>
    <row r="71" spans="1:14" x14ac:dyDescent="0.3">
      <c r="A71" t="s">
        <v>409</v>
      </c>
      <c r="B71" t="s">
        <v>70</v>
      </c>
      <c r="C71" t="s">
        <v>71</v>
      </c>
      <c r="D71">
        <v>0</v>
      </c>
      <c r="E71" t="s">
        <v>464</v>
      </c>
      <c r="F71">
        <v>70</v>
      </c>
      <c r="J71" t="s">
        <v>409</v>
      </c>
      <c r="K71" t="s">
        <v>517</v>
      </c>
      <c r="L71" t="s">
        <v>465</v>
      </c>
      <c r="M71">
        <v>70</v>
      </c>
      <c r="N71" t="s">
        <v>490</v>
      </c>
    </row>
    <row r="72" spans="1:14" x14ac:dyDescent="0.3">
      <c r="A72" t="s">
        <v>409</v>
      </c>
      <c r="B72" t="s">
        <v>70</v>
      </c>
      <c r="C72" t="s">
        <v>71</v>
      </c>
      <c r="D72">
        <v>0</v>
      </c>
      <c r="E72" t="s">
        <v>467</v>
      </c>
      <c r="F72">
        <v>16</v>
      </c>
      <c r="J72" t="s">
        <v>409</v>
      </c>
      <c r="K72" t="s">
        <v>517</v>
      </c>
      <c r="L72" t="s">
        <v>468</v>
      </c>
      <c r="M72">
        <v>16</v>
      </c>
      <c r="N72" t="s">
        <v>490</v>
      </c>
    </row>
    <row r="73" spans="1:14" x14ac:dyDescent="0.3">
      <c r="A73" t="s">
        <v>410</v>
      </c>
      <c r="B73" t="s">
        <v>300</v>
      </c>
      <c r="C73" t="s">
        <v>301</v>
      </c>
      <c r="D73">
        <v>0</v>
      </c>
      <c r="E73" t="s">
        <v>461</v>
      </c>
      <c r="F73">
        <v>109</v>
      </c>
      <c r="J73" t="s">
        <v>410</v>
      </c>
      <c r="K73" t="s">
        <v>518</v>
      </c>
      <c r="L73" t="s">
        <v>462</v>
      </c>
      <c r="M73">
        <v>109</v>
      </c>
      <c r="N73" t="s">
        <v>490</v>
      </c>
    </row>
    <row r="74" spans="1:14" x14ac:dyDescent="0.3">
      <c r="A74" t="s">
        <v>410</v>
      </c>
      <c r="B74" t="s">
        <v>300</v>
      </c>
      <c r="C74" t="s">
        <v>301</v>
      </c>
      <c r="D74">
        <v>0</v>
      </c>
      <c r="E74" t="s">
        <v>464</v>
      </c>
      <c r="F74">
        <v>117</v>
      </c>
      <c r="J74" t="s">
        <v>410</v>
      </c>
      <c r="K74" t="s">
        <v>518</v>
      </c>
      <c r="L74" t="s">
        <v>465</v>
      </c>
      <c r="M74">
        <v>117</v>
      </c>
      <c r="N74" t="s">
        <v>490</v>
      </c>
    </row>
    <row r="75" spans="1:14" x14ac:dyDescent="0.3">
      <c r="A75" t="s">
        <v>410</v>
      </c>
      <c r="B75" t="s">
        <v>300</v>
      </c>
      <c r="C75" t="s">
        <v>301</v>
      </c>
      <c r="D75">
        <v>0</v>
      </c>
      <c r="E75" t="s">
        <v>467</v>
      </c>
      <c r="F75">
        <v>21</v>
      </c>
      <c r="J75" t="s">
        <v>410</v>
      </c>
      <c r="K75" t="s">
        <v>518</v>
      </c>
      <c r="L75" t="s">
        <v>468</v>
      </c>
      <c r="M75">
        <v>21</v>
      </c>
      <c r="N75" t="s">
        <v>490</v>
      </c>
    </row>
    <row r="76" spans="1:14" x14ac:dyDescent="0.3">
      <c r="A76" t="s">
        <v>411</v>
      </c>
      <c r="B76" t="s">
        <v>192</v>
      </c>
      <c r="C76" t="s">
        <v>193</v>
      </c>
      <c r="D76">
        <v>0</v>
      </c>
      <c r="E76" t="s">
        <v>461</v>
      </c>
      <c r="F76">
        <v>59</v>
      </c>
      <c r="J76" t="s">
        <v>411</v>
      </c>
      <c r="K76" t="s">
        <v>519</v>
      </c>
      <c r="L76" t="s">
        <v>462</v>
      </c>
      <c r="M76">
        <v>59</v>
      </c>
      <c r="N76" t="s">
        <v>490</v>
      </c>
    </row>
    <row r="77" spans="1:14" x14ac:dyDescent="0.3">
      <c r="A77" t="s">
        <v>411</v>
      </c>
      <c r="B77" t="s">
        <v>192</v>
      </c>
      <c r="C77" t="s">
        <v>193</v>
      </c>
      <c r="D77">
        <v>0</v>
      </c>
      <c r="E77" t="s">
        <v>464</v>
      </c>
      <c r="F77">
        <v>86</v>
      </c>
      <c r="J77" t="s">
        <v>411</v>
      </c>
      <c r="K77" t="s">
        <v>519</v>
      </c>
      <c r="L77" t="s">
        <v>465</v>
      </c>
      <c r="M77">
        <v>86</v>
      </c>
      <c r="N77" t="s">
        <v>490</v>
      </c>
    </row>
    <row r="78" spans="1:14" x14ac:dyDescent="0.3">
      <c r="A78" t="s">
        <v>411</v>
      </c>
      <c r="B78" t="s">
        <v>192</v>
      </c>
      <c r="C78" t="s">
        <v>193</v>
      </c>
      <c r="D78">
        <v>0</v>
      </c>
      <c r="E78" t="s">
        <v>467</v>
      </c>
      <c r="F78">
        <v>19</v>
      </c>
      <c r="J78" t="s">
        <v>411</v>
      </c>
      <c r="K78" t="s">
        <v>519</v>
      </c>
      <c r="L78" t="s">
        <v>468</v>
      </c>
      <c r="M78">
        <v>19</v>
      </c>
      <c r="N78" t="s">
        <v>490</v>
      </c>
    </row>
    <row r="79" spans="1:14" x14ac:dyDescent="0.3">
      <c r="A79" t="s">
        <v>412</v>
      </c>
      <c r="B79" t="s">
        <v>137</v>
      </c>
      <c r="C79" t="s">
        <v>138</v>
      </c>
      <c r="D79">
        <v>0</v>
      </c>
      <c r="E79" t="s">
        <v>461</v>
      </c>
      <c r="F79">
        <v>76</v>
      </c>
      <c r="J79" t="s">
        <v>412</v>
      </c>
      <c r="K79" t="s">
        <v>520</v>
      </c>
      <c r="L79" t="s">
        <v>462</v>
      </c>
      <c r="M79">
        <v>76</v>
      </c>
      <c r="N79" t="s">
        <v>490</v>
      </c>
    </row>
    <row r="80" spans="1:14" x14ac:dyDescent="0.3">
      <c r="A80" t="s">
        <v>412</v>
      </c>
      <c r="B80" t="s">
        <v>137</v>
      </c>
      <c r="C80" t="s">
        <v>138</v>
      </c>
      <c r="D80">
        <v>0</v>
      </c>
      <c r="E80" t="s">
        <v>464</v>
      </c>
      <c r="F80">
        <v>89</v>
      </c>
      <c r="J80" t="s">
        <v>412</v>
      </c>
      <c r="K80" t="s">
        <v>520</v>
      </c>
      <c r="L80" t="s">
        <v>465</v>
      </c>
      <c r="M80">
        <v>89</v>
      </c>
      <c r="N80" t="s">
        <v>490</v>
      </c>
    </row>
    <row r="81" spans="1:14" x14ac:dyDescent="0.3">
      <c r="A81" t="s">
        <v>412</v>
      </c>
      <c r="B81" t="s">
        <v>137</v>
      </c>
      <c r="C81" t="s">
        <v>138</v>
      </c>
      <c r="D81">
        <v>0</v>
      </c>
      <c r="E81" t="s">
        <v>467</v>
      </c>
      <c r="F81">
        <v>17</v>
      </c>
      <c r="J81" t="s">
        <v>412</v>
      </c>
      <c r="K81" t="s">
        <v>520</v>
      </c>
      <c r="L81" t="s">
        <v>468</v>
      </c>
      <c r="M81">
        <v>17</v>
      </c>
      <c r="N81" t="s">
        <v>490</v>
      </c>
    </row>
    <row r="82" spans="1:14" x14ac:dyDescent="0.3">
      <c r="A82" t="s">
        <v>413</v>
      </c>
      <c r="B82" t="s">
        <v>13</v>
      </c>
      <c r="C82" t="s">
        <v>25</v>
      </c>
      <c r="D82">
        <v>0</v>
      </c>
      <c r="E82" t="s">
        <v>461</v>
      </c>
      <c r="F82">
        <v>55</v>
      </c>
      <c r="J82" t="s">
        <v>413</v>
      </c>
      <c r="K82" t="s">
        <v>521</v>
      </c>
      <c r="L82" t="s">
        <v>462</v>
      </c>
      <c r="M82">
        <v>55</v>
      </c>
      <c r="N82" t="s">
        <v>490</v>
      </c>
    </row>
    <row r="83" spans="1:14" x14ac:dyDescent="0.3">
      <c r="A83" t="s">
        <v>413</v>
      </c>
      <c r="B83" t="s">
        <v>13</v>
      </c>
      <c r="C83" t="s">
        <v>25</v>
      </c>
      <c r="D83">
        <v>0</v>
      </c>
      <c r="E83" t="s">
        <v>464</v>
      </c>
      <c r="F83">
        <v>84</v>
      </c>
      <c r="J83" t="s">
        <v>413</v>
      </c>
      <c r="K83" t="s">
        <v>521</v>
      </c>
      <c r="L83" t="s">
        <v>465</v>
      </c>
      <c r="M83">
        <v>84</v>
      </c>
      <c r="N83" t="s">
        <v>490</v>
      </c>
    </row>
    <row r="84" spans="1:14" x14ac:dyDescent="0.3">
      <c r="A84" t="s">
        <v>413</v>
      </c>
      <c r="B84" t="s">
        <v>13</v>
      </c>
      <c r="C84" t="s">
        <v>25</v>
      </c>
      <c r="D84">
        <v>0</v>
      </c>
      <c r="E84" t="s">
        <v>467</v>
      </c>
      <c r="F84">
        <v>10</v>
      </c>
      <c r="J84" t="s">
        <v>413</v>
      </c>
      <c r="K84" t="s">
        <v>521</v>
      </c>
      <c r="L84" t="s">
        <v>468</v>
      </c>
      <c r="M84">
        <v>10</v>
      </c>
      <c r="N84" t="s">
        <v>490</v>
      </c>
    </row>
    <row r="85" spans="1:14" x14ac:dyDescent="0.3">
      <c r="A85" t="s">
        <v>414</v>
      </c>
      <c r="B85" t="s">
        <v>143</v>
      </c>
      <c r="C85" t="s">
        <v>144</v>
      </c>
      <c r="D85">
        <v>0</v>
      </c>
      <c r="E85" t="s">
        <v>461</v>
      </c>
      <c r="F85">
        <v>96</v>
      </c>
      <c r="J85" t="s">
        <v>414</v>
      </c>
      <c r="K85" t="s">
        <v>522</v>
      </c>
      <c r="L85" t="s">
        <v>462</v>
      </c>
      <c r="M85">
        <v>96</v>
      </c>
      <c r="N85" t="s">
        <v>490</v>
      </c>
    </row>
    <row r="86" spans="1:14" x14ac:dyDescent="0.3">
      <c r="A86" t="s">
        <v>414</v>
      </c>
      <c r="B86" t="s">
        <v>143</v>
      </c>
      <c r="C86" t="s">
        <v>144</v>
      </c>
      <c r="D86">
        <v>0</v>
      </c>
      <c r="E86" t="s">
        <v>464</v>
      </c>
      <c r="F86">
        <v>120</v>
      </c>
      <c r="J86" t="s">
        <v>414</v>
      </c>
      <c r="K86" t="s">
        <v>522</v>
      </c>
      <c r="L86" t="s">
        <v>465</v>
      </c>
      <c r="M86">
        <v>120</v>
      </c>
      <c r="N86" t="s">
        <v>490</v>
      </c>
    </row>
    <row r="87" spans="1:14" x14ac:dyDescent="0.3">
      <c r="A87" t="s">
        <v>414</v>
      </c>
      <c r="B87" t="s">
        <v>143</v>
      </c>
      <c r="C87" t="s">
        <v>144</v>
      </c>
      <c r="D87">
        <v>0</v>
      </c>
      <c r="E87" t="s">
        <v>467</v>
      </c>
      <c r="F87">
        <v>16</v>
      </c>
      <c r="J87" t="s">
        <v>414</v>
      </c>
      <c r="K87" t="s">
        <v>522</v>
      </c>
      <c r="L87" t="s">
        <v>468</v>
      </c>
      <c r="M87">
        <v>16</v>
      </c>
      <c r="N87" t="s">
        <v>490</v>
      </c>
    </row>
    <row r="88" spans="1:14" x14ac:dyDescent="0.3">
      <c r="A88" t="s">
        <v>415</v>
      </c>
      <c r="B88" t="s">
        <v>239</v>
      </c>
      <c r="C88" t="s">
        <v>240</v>
      </c>
      <c r="D88">
        <v>0</v>
      </c>
      <c r="E88" t="s">
        <v>461</v>
      </c>
      <c r="F88">
        <v>116</v>
      </c>
      <c r="J88" t="s">
        <v>415</v>
      </c>
      <c r="K88" t="s">
        <v>523</v>
      </c>
      <c r="L88" t="s">
        <v>462</v>
      </c>
      <c r="M88">
        <v>116</v>
      </c>
      <c r="N88" t="s">
        <v>490</v>
      </c>
    </row>
    <row r="89" spans="1:14" x14ac:dyDescent="0.3">
      <c r="A89" t="s">
        <v>415</v>
      </c>
      <c r="B89" t="s">
        <v>239</v>
      </c>
      <c r="C89" t="s">
        <v>240</v>
      </c>
      <c r="D89">
        <v>0</v>
      </c>
      <c r="E89" t="s">
        <v>464</v>
      </c>
      <c r="F89">
        <v>76</v>
      </c>
      <c r="J89" t="s">
        <v>415</v>
      </c>
      <c r="K89" t="s">
        <v>523</v>
      </c>
      <c r="L89" t="s">
        <v>465</v>
      </c>
      <c r="M89">
        <v>76</v>
      </c>
      <c r="N89" t="s">
        <v>490</v>
      </c>
    </row>
    <row r="90" spans="1:14" x14ac:dyDescent="0.3">
      <c r="A90" t="s">
        <v>415</v>
      </c>
      <c r="B90" t="s">
        <v>239</v>
      </c>
      <c r="C90" t="s">
        <v>240</v>
      </c>
      <c r="D90">
        <v>0</v>
      </c>
      <c r="E90" t="s">
        <v>467</v>
      </c>
      <c r="F90">
        <v>22</v>
      </c>
      <c r="J90" t="s">
        <v>415</v>
      </c>
      <c r="K90" t="s">
        <v>523</v>
      </c>
      <c r="L90" t="s">
        <v>468</v>
      </c>
      <c r="M90">
        <v>22</v>
      </c>
      <c r="N90" t="s">
        <v>490</v>
      </c>
    </row>
    <row r="91" spans="1:14" x14ac:dyDescent="0.3">
      <c r="A91" t="s">
        <v>416</v>
      </c>
      <c r="B91" t="s">
        <v>140</v>
      </c>
      <c r="C91" t="s">
        <v>141</v>
      </c>
      <c r="D91">
        <v>0</v>
      </c>
      <c r="E91" t="s">
        <v>461</v>
      </c>
      <c r="F91">
        <v>49</v>
      </c>
      <c r="J91" t="s">
        <v>416</v>
      </c>
      <c r="K91" t="s">
        <v>524</v>
      </c>
      <c r="L91" t="s">
        <v>462</v>
      </c>
      <c r="M91">
        <v>49</v>
      </c>
      <c r="N91" t="s">
        <v>490</v>
      </c>
    </row>
    <row r="92" spans="1:14" x14ac:dyDescent="0.3">
      <c r="A92" t="s">
        <v>416</v>
      </c>
      <c r="B92" t="s">
        <v>140</v>
      </c>
      <c r="C92" t="s">
        <v>141</v>
      </c>
      <c r="D92">
        <v>0</v>
      </c>
      <c r="E92" t="s">
        <v>464</v>
      </c>
      <c r="F92">
        <v>68</v>
      </c>
      <c r="J92" t="s">
        <v>416</v>
      </c>
      <c r="K92" t="s">
        <v>524</v>
      </c>
      <c r="L92" t="s">
        <v>465</v>
      </c>
      <c r="M92">
        <v>68</v>
      </c>
      <c r="N92" t="s">
        <v>490</v>
      </c>
    </row>
    <row r="93" spans="1:14" x14ac:dyDescent="0.3">
      <c r="A93" t="s">
        <v>416</v>
      </c>
      <c r="B93" t="s">
        <v>140</v>
      </c>
      <c r="C93" t="s">
        <v>141</v>
      </c>
      <c r="D93">
        <v>0</v>
      </c>
      <c r="E93" t="s">
        <v>467</v>
      </c>
      <c r="F93">
        <v>11</v>
      </c>
      <c r="J93" t="s">
        <v>416</v>
      </c>
      <c r="K93" t="s">
        <v>524</v>
      </c>
      <c r="L93" t="s">
        <v>468</v>
      </c>
      <c r="M93">
        <v>11</v>
      </c>
      <c r="N93" t="s">
        <v>490</v>
      </c>
    </row>
    <row r="94" spans="1:14" x14ac:dyDescent="0.3">
      <c r="A94" t="s">
        <v>417</v>
      </c>
      <c r="B94" t="s">
        <v>195</v>
      </c>
      <c r="C94" t="s">
        <v>196</v>
      </c>
      <c r="D94">
        <v>0</v>
      </c>
      <c r="E94" t="s">
        <v>461</v>
      </c>
      <c r="F94">
        <v>61</v>
      </c>
      <c r="J94" t="s">
        <v>417</v>
      </c>
      <c r="K94" t="s">
        <v>525</v>
      </c>
      <c r="L94" t="s">
        <v>462</v>
      </c>
      <c r="M94">
        <v>61</v>
      </c>
      <c r="N94" t="s">
        <v>490</v>
      </c>
    </row>
    <row r="95" spans="1:14" x14ac:dyDescent="0.3">
      <c r="A95" t="s">
        <v>417</v>
      </c>
      <c r="B95" t="s">
        <v>195</v>
      </c>
      <c r="C95" t="s">
        <v>196</v>
      </c>
      <c r="D95">
        <v>0</v>
      </c>
      <c r="E95" t="s">
        <v>464</v>
      </c>
      <c r="F95">
        <v>59</v>
      </c>
      <c r="J95" t="s">
        <v>417</v>
      </c>
      <c r="K95" t="s">
        <v>525</v>
      </c>
      <c r="L95" t="s">
        <v>465</v>
      </c>
      <c r="M95">
        <v>59</v>
      </c>
      <c r="N95" t="s">
        <v>490</v>
      </c>
    </row>
    <row r="96" spans="1:14" x14ac:dyDescent="0.3">
      <c r="A96" t="s">
        <v>417</v>
      </c>
      <c r="B96" t="s">
        <v>195</v>
      </c>
      <c r="C96" t="s">
        <v>196</v>
      </c>
      <c r="D96">
        <v>0</v>
      </c>
      <c r="E96" t="s">
        <v>467</v>
      </c>
      <c r="F96">
        <v>9</v>
      </c>
      <c r="J96" t="s">
        <v>417</v>
      </c>
      <c r="K96" t="s">
        <v>525</v>
      </c>
      <c r="L96" t="s">
        <v>468</v>
      </c>
      <c r="M96">
        <v>9</v>
      </c>
      <c r="N96" t="s">
        <v>490</v>
      </c>
    </row>
    <row r="97" spans="1:14" x14ac:dyDescent="0.3">
      <c r="A97" t="s">
        <v>418</v>
      </c>
      <c r="B97" t="s">
        <v>5</v>
      </c>
      <c r="C97" t="s">
        <v>16</v>
      </c>
      <c r="D97">
        <v>0</v>
      </c>
      <c r="E97" t="s">
        <v>461</v>
      </c>
      <c r="F97">
        <v>62</v>
      </c>
      <c r="J97" t="s">
        <v>418</v>
      </c>
      <c r="K97" t="s">
        <v>526</v>
      </c>
      <c r="L97" t="s">
        <v>462</v>
      </c>
      <c r="M97">
        <v>62</v>
      </c>
      <c r="N97" t="s">
        <v>490</v>
      </c>
    </row>
    <row r="98" spans="1:14" x14ac:dyDescent="0.3">
      <c r="A98" t="s">
        <v>418</v>
      </c>
      <c r="B98" t="s">
        <v>5</v>
      </c>
      <c r="C98" t="s">
        <v>16</v>
      </c>
      <c r="D98">
        <v>0</v>
      </c>
      <c r="E98" t="s">
        <v>464</v>
      </c>
      <c r="F98">
        <v>85</v>
      </c>
      <c r="J98" t="s">
        <v>418</v>
      </c>
      <c r="K98" t="s">
        <v>526</v>
      </c>
      <c r="L98" t="s">
        <v>465</v>
      </c>
      <c r="M98">
        <v>85</v>
      </c>
      <c r="N98" t="s">
        <v>490</v>
      </c>
    </row>
    <row r="99" spans="1:14" x14ac:dyDescent="0.3">
      <c r="A99" t="s">
        <v>418</v>
      </c>
      <c r="B99" t="s">
        <v>5</v>
      </c>
      <c r="C99" t="s">
        <v>16</v>
      </c>
      <c r="D99">
        <v>0</v>
      </c>
      <c r="E99" t="s">
        <v>467</v>
      </c>
      <c r="F99">
        <v>17</v>
      </c>
      <c r="J99" t="s">
        <v>418</v>
      </c>
      <c r="K99" t="s">
        <v>526</v>
      </c>
      <c r="L99" t="s">
        <v>468</v>
      </c>
      <c r="M99">
        <v>17</v>
      </c>
      <c r="N99" t="s">
        <v>490</v>
      </c>
    </row>
    <row r="100" spans="1:14" x14ac:dyDescent="0.3">
      <c r="A100" t="s">
        <v>419</v>
      </c>
      <c r="B100" t="s">
        <v>7</v>
      </c>
      <c r="C100" t="s">
        <v>18</v>
      </c>
      <c r="D100">
        <v>0</v>
      </c>
      <c r="E100" t="s">
        <v>461</v>
      </c>
      <c r="F100">
        <v>25</v>
      </c>
      <c r="J100" t="s">
        <v>419</v>
      </c>
      <c r="K100" t="s">
        <v>527</v>
      </c>
      <c r="L100" t="s">
        <v>462</v>
      </c>
      <c r="M100">
        <v>25</v>
      </c>
      <c r="N100" t="s">
        <v>490</v>
      </c>
    </row>
    <row r="101" spans="1:14" x14ac:dyDescent="0.3">
      <c r="A101" t="s">
        <v>419</v>
      </c>
      <c r="B101" t="s">
        <v>7</v>
      </c>
      <c r="C101" t="s">
        <v>18</v>
      </c>
      <c r="D101">
        <v>0</v>
      </c>
      <c r="E101" t="s">
        <v>464</v>
      </c>
      <c r="F101">
        <v>54</v>
      </c>
      <c r="J101" t="s">
        <v>419</v>
      </c>
      <c r="K101" t="s">
        <v>527</v>
      </c>
      <c r="L101" t="s">
        <v>465</v>
      </c>
      <c r="M101">
        <v>54</v>
      </c>
      <c r="N101" t="s">
        <v>490</v>
      </c>
    </row>
    <row r="102" spans="1:14" x14ac:dyDescent="0.3">
      <c r="A102" t="s">
        <v>419</v>
      </c>
      <c r="B102" t="s">
        <v>7</v>
      </c>
      <c r="C102" t="s">
        <v>18</v>
      </c>
      <c r="D102">
        <v>0</v>
      </c>
      <c r="E102" t="s">
        <v>467</v>
      </c>
      <c r="F102">
        <v>6</v>
      </c>
      <c r="J102" t="s">
        <v>419</v>
      </c>
      <c r="K102" t="s">
        <v>527</v>
      </c>
      <c r="L102" t="s">
        <v>468</v>
      </c>
      <c r="M102">
        <v>6</v>
      </c>
      <c r="N102" t="s">
        <v>490</v>
      </c>
    </row>
    <row r="103" spans="1:14" x14ac:dyDescent="0.3">
      <c r="A103" t="s">
        <v>420</v>
      </c>
      <c r="B103" t="s">
        <v>10</v>
      </c>
      <c r="C103" t="s">
        <v>21</v>
      </c>
      <c r="D103">
        <v>0</v>
      </c>
      <c r="E103" t="s">
        <v>461</v>
      </c>
      <c r="F103">
        <v>54</v>
      </c>
      <c r="J103" t="s">
        <v>420</v>
      </c>
      <c r="K103" t="s">
        <v>528</v>
      </c>
      <c r="L103" t="s">
        <v>462</v>
      </c>
      <c r="M103">
        <v>54</v>
      </c>
      <c r="N103" t="s">
        <v>490</v>
      </c>
    </row>
    <row r="104" spans="1:14" x14ac:dyDescent="0.3">
      <c r="A104" t="s">
        <v>420</v>
      </c>
      <c r="B104" t="s">
        <v>10</v>
      </c>
      <c r="C104" t="s">
        <v>21</v>
      </c>
      <c r="D104">
        <v>0</v>
      </c>
      <c r="E104" t="s">
        <v>464</v>
      </c>
      <c r="F104">
        <v>32</v>
      </c>
      <c r="J104" t="s">
        <v>420</v>
      </c>
      <c r="K104" t="s">
        <v>528</v>
      </c>
      <c r="L104" t="s">
        <v>465</v>
      </c>
      <c r="M104">
        <v>32</v>
      </c>
      <c r="N104" t="s">
        <v>490</v>
      </c>
    </row>
    <row r="105" spans="1:14" x14ac:dyDescent="0.3">
      <c r="A105" t="s">
        <v>420</v>
      </c>
      <c r="B105" t="s">
        <v>10</v>
      </c>
      <c r="C105" t="s">
        <v>21</v>
      </c>
      <c r="D105">
        <v>0</v>
      </c>
      <c r="E105" t="s">
        <v>467</v>
      </c>
      <c r="F105">
        <v>18</v>
      </c>
      <c r="J105" t="s">
        <v>420</v>
      </c>
      <c r="K105" t="s">
        <v>528</v>
      </c>
      <c r="L105" t="s">
        <v>468</v>
      </c>
      <c r="M105">
        <v>18</v>
      </c>
      <c r="N105" t="s">
        <v>490</v>
      </c>
    </row>
    <row r="106" spans="1:14" x14ac:dyDescent="0.3">
      <c r="A106" t="s">
        <v>421</v>
      </c>
      <c r="B106" t="s">
        <v>9</v>
      </c>
      <c r="C106" t="s">
        <v>20</v>
      </c>
      <c r="D106">
        <v>0</v>
      </c>
      <c r="E106" t="s">
        <v>461</v>
      </c>
      <c r="F106">
        <v>30</v>
      </c>
      <c r="J106" t="s">
        <v>421</v>
      </c>
      <c r="K106" t="s">
        <v>529</v>
      </c>
      <c r="L106" t="s">
        <v>462</v>
      </c>
      <c r="M106">
        <v>30</v>
      </c>
      <c r="N106" t="s">
        <v>490</v>
      </c>
    </row>
    <row r="107" spans="1:14" x14ac:dyDescent="0.3">
      <c r="A107" t="s">
        <v>421</v>
      </c>
      <c r="B107" t="s">
        <v>9</v>
      </c>
      <c r="C107" t="s">
        <v>20</v>
      </c>
      <c r="D107">
        <v>0</v>
      </c>
      <c r="E107" t="s">
        <v>464</v>
      </c>
      <c r="F107">
        <v>95</v>
      </c>
      <c r="J107" t="s">
        <v>421</v>
      </c>
      <c r="K107" t="s">
        <v>529</v>
      </c>
      <c r="L107" t="s">
        <v>465</v>
      </c>
      <c r="M107">
        <v>95</v>
      </c>
      <c r="N107" t="s">
        <v>490</v>
      </c>
    </row>
    <row r="108" spans="1:14" x14ac:dyDescent="0.3">
      <c r="A108" t="s">
        <v>421</v>
      </c>
      <c r="B108" t="s">
        <v>9</v>
      </c>
      <c r="C108" t="s">
        <v>20</v>
      </c>
      <c r="D108">
        <v>0</v>
      </c>
      <c r="E108" t="s">
        <v>467</v>
      </c>
      <c r="F108">
        <v>6</v>
      </c>
      <c r="J108" t="s">
        <v>421</v>
      </c>
      <c r="K108" t="s">
        <v>529</v>
      </c>
      <c r="L108" t="s">
        <v>468</v>
      </c>
      <c r="M108">
        <v>6</v>
      </c>
      <c r="N108" t="s">
        <v>490</v>
      </c>
    </row>
    <row r="109" spans="1:14" x14ac:dyDescent="0.3">
      <c r="A109" t="s">
        <v>422</v>
      </c>
      <c r="B109" t="s">
        <v>12</v>
      </c>
      <c r="C109" t="s">
        <v>23</v>
      </c>
      <c r="D109">
        <v>0</v>
      </c>
      <c r="E109" t="s">
        <v>461</v>
      </c>
      <c r="F109">
        <v>33</v>
      </c>
      <c r="J109" t="s">
        <v>422</v>
      </c>
      <c r="K109" t="s">
        <v>530</v>
      </c>
      <c r="L109" t="s">
        <v>462</v>
      </c>
      <c r="M109">
        <v>33</v>
      </c>
      <c r="N109" t="s">
        <v>490</v>
      </c>
    </row>
    <row r="110" spans="1:14" x14ac:dyDescent="0.3">
      <c r="A110" t="s">
        <v>422</v>
      </c>
      <c r="B110" t="s">
        <v>12</v>
      </c>
      <c r="C110" t="s">
        <v>23</v>
      </c>
      <c r="D110">
        <v>0</v>
      </c>
      <c r="E110" t="s">
        <v>464</v>
      </c>
      <c r="F110">
        <v>80</v>
      </c>
      <c r="J110" t="s">
        <v>422</v>
      </c>
      <c r="K110" t="s">
        <v>530</v>
      </c>
      <c r="L110" t="s">
        <v>465</v>
      </c>
      <c r="M110">
        <v>80</v>
      </c>
      <c r="N110" t="s">
        <v>490</v>
      </c>
    </row>
    <row r="111" spans="1:14" x14ac:dyDescent="0.3">
      <c r="A111" t="s">
        <v>422</v>
      </c>
      <c r="B111" t="s">
        <v>12</v>
      </c>
      <c r="C111" t="s">
        <v>23</v>
      </c>
      <c r="D111">
        <v>0</v>
      </c>
      <c r="E111" t="s">
        <v>467</v>
      </c>
      <c r="F111">
        <v>9</v>
      </c>
      <c r="J111" t="s">
        <v>422</v>
      </c>
      <c r="K111" t="s">
        <v>530</v>
      </c>
      <c r="L111" t="s">
        <v>468</v>
      </c>
      <c r="M111">
        <v>9</v>
      </c>
      <c r="N111" t="s">
        <v>490</v>
      </c>
    </row>
    <row r="112" spans="1:14" x14ac:dyDescent="0.3">
      <c r="A112" t="s">
        <v>423</v>
      </c>
      <c r="B112" t="s">
        <v>8</v>
      </c>
      <c r="C112" t="s">
        <v>19</v>
      </c>
      <c r="D112">
        <v>0</v>
      </c>
      <c r="E112" t="s">
        <v>461</v>
      </c>
      <c r="F112">
        <v>30</v>
      </c>
      <c r="J112" t="s">
        <v>423</v>
      </c>
      <c r="K112" t="s">
        <v>531</v>
      </c>
      <c r="L112" t="s">
        <v>462</v>
      </c>
      <c r="M112">
        <v>30</v>
      </c>
      <c r="N112" t="s">
        <v>490</v>
      </c>
    </row>
    <row r="113" spans="1:14" x14ac:dyDescent="0.3">
      <c r="A113" t="s">
        <v>423</v>
      </c>
      <c r="B113" t="s">
        <v>8</v>
      </c>
      <c r="C113" t="s">
        <v>19</v>
      </c>
      <c r="D113">
        <v>0</v>
      </c>
      <c r="E113" t="s">
        <v>464</v>
      </c>
      <c r="F113">
        <v>74</v>
      </c>
      <c r="J113" t="s">
        <v>423</v>
      </c>
      <c r="K113" t="s">
        <v>531</v>
      </c>
      <c r="L113" t="s">
        <v>465</v>
      </c>
      <c r="M113">
        <v>74</v>
      </c>
      <c r="N113" t="s">
        <v>490</v>
      </c>
    </row>
    <row r="114" spans="1:14" x14ac:dyDescent="0.3">
      <c r="A114" t="s">
        <v>423</v>
      </c>
      <c r="B114" t="s">
        <v>8</v>
      </c>
      <c r="C114" t="s">
        <v>19</v>
      </c>
      <c r="D114">
        <v>0</v>
      </c>
      <c r="E114" t="s">
        <v>467</v>
      </c>
      <c r="F114">
        <v>10</v>
      </c>
      <c r="J114" t="s">
        <v>423</v>
      </c>
      <c r="K114" t="s">
        <v>531</v>
      </c>
      <c r="L114" t="s">
        <v>468</v>
      </c>
      <c r="M114">
        <v>10</v>
      </c>
      <c r="N114" t="s">
        <v>490</v>
      </c>
    </row>
    <row r="115" spans="1:14" x14ac:dyDescent="0.3">
      <c r="A115" t="s">
        <v>424</v>
      </c>
      <c r="B115" t="s">
        <v>11</v>
      </c>
      <c r="C115" t="s">
        <v>22</v>
      </c>
      <c r="D115">
        <v>0</v>
      </c>
      <c r="E115" t="s">
        <v>461</v>
      </c>
      <c r="F115">
        <v>31</v>
      </c>
      <c r="J115" t="s">
        <v>424</v>
      </c>
      <c r="K115" t="s">
        <v>532</v>
      </c>
      <c r="L115" t="s">
        <v>462</v>
      </c>
      <c r="M115">
        <v>31</v>
      </c>
      <c r="N115" t="s">
        <v>490</v>
      </c>
    </row>
    <row r="116" spans="1:14" x14ac:dyDescent="0.3">
      <c r="A116" t="s">
        <v>424</v>
      </c>
      <c r="B116" t="s">
        <v>11</v>
      </c>
      <c r="C116" t="s">
        <v>22</v>
      </c>
      <c r="D116">
        <v>0</v>
      </c>
      <c r="E116" t="s">
        <v>464</v>
      </c>
      <c r="F116">
        <v>47</v>
      </c>
      <c r="J116" t="s">
        <v>424</v>
      </c>
      <c r="K116" t="s">
        <v>532</v>
      </c>
      <c r="L116" t="s">
        <v>465</v>
      </c>
      <c r="M116">
        <v>47</v>
      </c>
      <c r="N116" t="s">
        <v>490</v>
      </c>
    </row>
    <row r="117" spans="1:14" x14ac:dyDescent="0.3">
      <c r="A117" t="s">
        <v>424</v>
      </c>
      <c r="B117" t="s">
        <v>11</v>
      </c>
      <c r="C117" t="s">
        <v>22</v>
      </c>
      <c r="D117">
        <v>0</v>
      </c>
      <c r="E117" t="s">
        <v>467</v>
      </c>
      <c r="F117">
        <v>7</v>
      </c>
      <c r="J117" t="s">
        <v>424</v>
      </c>
      <c r="K117" t="s">
        <v>532</v>
      </c>
      <c r="L117" t="s">
        <v>468</v>
      </c>
      <c r="M117">
        <v>7</v>
      </c>
      <c r="N117" t="s">
        <v>490</v>
      </c>
    </row>
    <row r="118" spans="1:14" x14ac:dyDescent="0.3">
      <c r="A118" t="s">
        <v>425</v>
      </c>
      <c r="B118" t="s">
        <v>111</v>
      </c>
      <c r="C118" t="s">
        <v>112</v>
      </c>
      <c r="D118">
        <v>0</v>
      </c>
      <c r="E118" t="s">
        <v>455</v>
      </c>
      <c r="F118">
        <v>4</v>
      </c>
      <c r="J118" t="s">
        <v>425</v>
      </c>
      <c r="K118" t="s">
        <v>533</v>
      </c>
      <c r="L118" t="s">
        <v>456</v>
      </c>
      <c r="M118">
        <v>4</v>
      </c>
      <c r="N118" t="s">
        <v>490</v>
      </c>
    </row>
    <row r="119" spans="1:14" x14ac:dyDescent="0.3">
      <c r="A119" t="s">
        <v>425</v>
      </c>
      <c r="B119" t="s">
        <v>111</v>
      </c>
      <c r="C119" t="s">
        <v>112</v>
      </c>
      <c r="D119">
        <v>0</v>
      </c>
      <c r="E119" t="s">
        <v>461</v>
      </c>
      <c r="F119">
        <v>16</v>
      </c>
      <c r="J119" t="s">
        <v>425</v>
      </c>
      <c r="K119" t="s">
        <v>533</v>
      </c>
      <c r="L119" t="s">
        <v>462</v>
      </c>
      <c r="M119">
        <v>16</v>
      </c>
      <c r="N119" t="s">
        <v>490</v>
      </c>
    </row>
    <row r="120" spans="1:14" x14ac:dyDescent="0.3">
      <c r="A120" t="s">
        <v>425</v>
      </c>
      <c r="B120" t="s">
        <v>111</v>
      </c>
      <c r="C120" t="s">
        <v>112</v>
      </c>
      <c r="D120">
        <v>0</v>
      </c>
      <c r="E120" t="s">
        <v>464</v>
      </c>
      <c r="F120">
        <v>15</v>
      </c>
      <c r="J120" t="s">
        <v>425</v>
      </c>
      <c r="K120" t="s">
        <v>533</v>
      </c>
      <c r="L120" t="s">
        <v>465</v>
      </c>
      <c r="M120">
        <v>15</v>
      </c>
      <c r="N120" t="s">
        <v>490</v>
      </c>
    </row>
    <row r="121" spans="1:14" x14ac:dyDescent="0.3">
      <c r="A121" t="s">
        <v>426</v>
      </c>
      <c r="B121" t="s">
        <v>113</v>
      </c>
      <c r="C121" t="s">
        <v>114</v>
      </c>
      <c r="D121">
        <v>0</v>
      </c>
      <c r="E121" t="s">
        <v>452</v>
      </c>
      <c r="F121">
        <v>1</v>
      </c>
      <c r="J121" t="s">
        <v>426</v>
      </c>
      <c r="K121" t="s">
        <v>534</v>
      </c>
      <c r="L121" t="s">
        <v>453</v>
      </c>
      <c r="M121">
        <v>1</v>
      </c>
      <c r="N121" t="s">
        <v>490</v>
      </c>
    </row>
    <row r="122" spans="1:14" x14ac:dyDescent="0.3">
      <c r="A122" t="s">
        <v>426</v>
      </c>
      <c r="B122" t="s">
        <v>113</v>
      </c>
      <c r="C122" t="s">
        <v>114</v>
      </c>
      <c r="D122">
        <v>0</v>
      </c>
      <c r="E122" t="s">
        <v>455</v>
      </c>
      <c r="F122">
        <v>3</v>
      </c>
      <c r="J122" t="s">
        <v>426</v>
      </c>
      <c r="K122" t="s">
        <v>534</v>
      </c>
      <c r="L122" t="s">
        <v>456</v>
      </c>
      <c r="M122">
        <v>3</v>
      </c>
      <c r="N122" t="s">
        <v>490</v>
      </c>
    </row>
    <row r="123" spans="1:14" x14ac:dyDescent="0.3">
      <c r="A123" t="s">
        <v>426</v>
      </c>
      <c r="B123" t="s">
        <v>113</v>
      </c>
      <c r="C123" t="s">
        <v>114</v>
      </c>
      <c r="D123">
        <v>0</v>
      </c>
      <c r="E123" t="s">
        <v>461</v>
      </c>
      <c r="F123">
        <v>31</v>
      </c>
      <c r="J123" t="s">
        <v>426</v>
      </c>
      <c r="K123" t="s">
        <v>534</v>
      </c>
      <c r="L123" t="s">
        <v>462</v>
      </c>
      <c r="M123">
        <v>31</v>
      </c>
      <c r="N123" t="s">
        <v>490</v>
      </c>
    </row>
    <row r="124" spans="1:14" x14ac:dyDescent="0.3">
      <c r="A124" t="s">
        <v>426</v>
      </c>
      <c r="B124" t="s">
        <v>113</v>
      </c>
      <c r="C124" t="s">
        <v>114</v>
      </c>
      <c r="D124">
        <v>0</v>
      </c>
      <c r="E124" t="s">
        <v>464</v>
      </c>
      <c r="F124">
        <v>22</v>
      </c>
      <c r="J124" t="s">
        <v>426</v>
      </c>
      <c r="K124" t="s">
        <v>534</v>
      </c>
      <c r="L124" t="s">
        <v>465</v>
      </c>
      <c r="M124">
        <v>22</v>
      </c>
      <c r="N124" t="s">
        <v>490</v>
      </c>
    </row>
    <row r="125" spans="1:14" x14ac:dyDescent="0.3">
      <c r="A125" t="s">
        <v>427</v>
      </c>
      <c r="B125" t="s">
        <v>115</v>
      </c>
      <c r="C125" t="s">
        <v>116</v>
      </c>
      <c r="D125">
        <v>0</v>
      </c>
      <c r="E125" t="s">
        <v>461</v>
      </c>
      <c r="F125">
        <v>154</v>
      </c>
      <c r="J125" t="s">
        <v>427</v>
      </c>
      <c r="K125" t="s">
        <v>535</v>
      </c>
      <c r="L125" t="s">
        <v>462</v>
      </c>
      <c r="M125">
        <v>154</v>
      </c>
      <c r="N125" t="s">
        <v>490</v>
      </c>
    </row>
    <row r="126" spans="1:14" x14ac:dyDescent="0.3">
      <c r="A126" t="s">
        <v>428</v>
      </c>
      <c r="B126" t="s">
        <v>117</v>
      </c>
      <c r="C126" t="s">
        <v>118</v>
      </c>
      <c r="D126">
        <v>0</v>
      </c>
      <c r="E126" t="s">
        <v>461</v>
      </c>
      <c r="F126">
        <v>154</v>
      </c>
      <c r="J126" t="s">
        <v>428</v>
      </c>
      <c r="K126" t="s">
        <v>536</v>
      </c>
      <c r="L126" t="s">
        <v>462</v>
      </c>
      <c r="M126">
        <v>154</v>
      </c>
      <c r="N126" t="s">
        <v>490</v>
      </c>
    </row>
    <row r="127" spans="1:14" x14ac:dyDescent="0.3">
      <c r="A127" t="s">
        <v>429</v>
      </c>
      <c r="B127" t="s">
        <v>152</v>
      </c>
      <c r="C127" t="s">
        <v>153</v>
      </c>
      <c r="D127">
        <v>0</v>
      </c>
      <c r="E127" t="s">
        <v>452</v>
      </c>
      <c r="F127">
        <v>30</v>
      </c>
      <c r="J127" t="s">
        <v>429</v>
      </c>
      <c r="K127" t="s">
        <v>537</v>
      </c>
      <c r="L127" t="s">
        <v>453</v>
      </c>
      <c r="M127">
        <v>30</v>
      </c>
      <c r="N127" t="s">
        <v>490</v>
      </c>
    </row>
    <row r="128" spans="1:14" x14ac:dyDescent="0.3">
      <c r="A128" t="s">
        <v>430</v>
      </c>
      <c r="B128" t="s">
        <v>431</v>
      </c>
      <c r="C128" t="s">
        <v>432</v>
      </c>
      <c r="D128">
        <v>0</v>
      </c>
      <c r="E128" t="s">
        <v>452</v>
      </c>
      <c r="F128">
        <v>30</v>
      </c>
      <c r="J128" t="s">
        <v>430</v>
      </c>
      <c r="K128" t="s">
        <v>538</v>
      </c>
      <c r="L128" t="s">
        <v>453</v>
      </c>
      <c r="M128">
        <v>30</v>
      </c>
      <c r="N128" t="s">
        <v>490</v>
      </c>
    </row>
    <row r="129" spans="1:14" x14ac:dyDescent="0.3">
      <c r="A129" t="s">
        <v>434</v>
      </c>
      <c r="B129" t="s">
        <v>287</v>
      </c>
      <c r="C129" t="s">
        <v>288</v>
      </c>
      <c r="D129" t="s">
        <v>34</v>
      </c>
      <c r="E129" t="s">
        <v>452</v>
      </c>
      <c r="F129">
        <v>5</v>
      </c>
      <c r="J129" t="s">
        <v>539</v>
      </c>
      <c r="K129" t="s">
        <v>540</v>
      </c>
      <c r="L129" t="s">
        <v>453</v>
      </c>
      <c r="M129">
        <v>5</v>
      </c>
      <c r="N129" t="s">
        <v>490</v>
      </c>
    </row>
    <row r="130" spans="1:14" x14ac:dyDescent="0.3">
      <c r="A130" t="s">
        <v>434</v>
      </c>
      <c r="B130" t="s">
        <v>287</v>
      </c>
      <c r="C130" t="s">
        <v>288</v>
      </c>
      <c r="D130" t="s">
        <v>34</v>
      </c>
      <c r="E130" t="s">
        <v>458</v>
      </c>
      <c r="F130">
        <v>80</v>
      </c>
      <c r="J130" t="s">
        <v>539</v>
      </c>
      <c r="K130" t="s">
        <v>540</v>
      </c>
      <c r="L130" t="s">
        <v>459</v>
      </c>
      <c r="M130">
        <v>80</v>
      </c>
      <c r="N130" t="s">
        <v>490</v>
      </c>
    </row>
    <row r="131" spans="1:14" x14ac:dyDescent="0.3">
      <c r="A131" t="s">
        <v>435</v>
      </c>
      <c r="B131" t="s">
        <v>201</v>
      </c>
      <c r="C131" t="s">
        <v>202</v>
      </c>
      <c r="D131" t="s">
        <v>34</v>
      </c>
      <c r="E131" t="s">
        <v>452</v>
      </c>
      <c r="F131">
        <v>50</v>
      </c>
      <c r="J131" t="s">
        <v>541</v>
      </c>
      <c r="K131" t="s">
        <v>542</v>
      </c>
      <c r="L131" t="s">
        <v>453</v>
      </c>
      <c r="M131">
        <v>50</v>
      </c>
      <c r="N131" t="s">
        <v>490</v>
      </c>
    </row>
    <row r="132" spans="1:14" x14ac:dyDescent="0.3">
      <c r="A132" t="s">
        <v>436</v>
      </c>
      <c r="B132" t="s">
        <v>234</v>
      </c>
      <c r="C132" t="s">
        <v>235</v>
      </c>
      <c r="D132">
        <v>0</v>
      </c>
      <c r="E132" t="s">
        <v>458</v>
      </c>
      <c r="F132">
        <v>50</v>
      </c>
      <c r="J132" t="s">
        <v>436</v>
      </c>
      <c r="K132" t="s">
        <v>543</v>
      </c>
      <c r="L132" t="s">
        <v>459</v>
      </c>
      <c r="M132">
        <v>50</v>
      </c>
      <c r="N132" t="s">
        <v>490</v>
      </c>
    </row>
    <row r="133" spans="1:14" x14ac:dyDescent="0.3">
      <c r="A133" t="s">
        <v>437</v>
      </c>
      <c r="B133" t="s">
        <v>245</v>
      </c>
      <c r="C133" t="s">
        <v>246</v>
      </c>
      <c r="D133" t="s">
        <v>34</v>
      </c>
      <c r="E133" t="s">
        <v>458</v>
      </c>
      <c r="F133">
        <v>50</v>
      </c>
      <c r="J133" t="s">
        <v>544</v>
      </c>
      <c r="K133" t="s">
        <v>545</v>
      </c>
      <c r="L133" t="s">
        <v>459</v>
      </c>
      <c r="M133">
        <v>50</v>
      </c>
      <c r="N133" t="s">
        <v>490</v>
      </c>
    </row>
    <row r="134" spans="1:14" x14ac:dyDescent="0.3">
      <c r="A134" t="s">
        <v>438</v>
      </c>
      <c r="B134" t="s">
        <v>149</v>
      </c>
      <c r="C134" t="s">
        <v>150</v>
      </c>
      <c r="D134">
        <v>0</v>
      </c>
      <c r="E134" t="s">
        <v>452</v>
      </c>
      <c r="F134">
        <v>40</v>
      </c>
      <c r="J134" t="s">
        <v>438</v>
      </c>
      <c r="K134" t="s">
        <v>546</v>
      </c>
      <c r="L134" t="s">
        <v>453</v>
      </c>
      <c r="M134">
        <v>40</v>
      </c>
      <c r="N134" t="s">
        <v>490</v>
      </c>
    </row>
    <row r="135" spans="1:14" x14ac:dyDescent="0.3">
      <c r="A135" t="s">
        <v>438</v>
      </c>
      <c r="B135" t="s">
        <v>149</v>
      </c>
      <c r="C135" t="s">
        <v>150</v>
      </c>
      <c r="D135">
        <v>0</v>
      </c>
      <c r="E135" t="s">
        <v>455</v>
      </c>
      <c r="F135">
        <v>10</v>
      </c>
      <c r="J135" t="s">
        <v>438</v>
      </c>
      <c r="K135" t="s">
        <v>546</v>
      </c>
      <c r="L135" t="s">
        <v>456</v>
      </c>
      <c r="M135">
        <v>10</v>
      </c>
      <c r="N135" t="s">
        <v>490</v>
      </c>
    </row>
    <row r="136" spans="1:14" x14ac:dyDescent="0.3">
      <c r="A136" t="s">
        <v>439</v>
      </c>
      <c r="B136" t="s">
        <v>440</v>
      </c>
      <c r="C136" t="s">
        <v>441</v>
      </c>
      <c r="D136" t="s">
        <v>34</v>
      </c>
      <c r="E136" t="s">
        <v>452</v>
      </c>
      <c r="F136">
        <v>20</v>
      </c>
      <c r="J136" t="s">
        <v>547</v>
      </c>
      <c r="K136" t="s">
        <v>548</v>
      </c>
      <c r="L136" t="s">
        <v>453</v>
      </c>
      <c r="M136">
        <v>20</v>
      </c>
      <c r="N136" t="s">
        <v>490</v>
      </c>
    </row>
    <row r="137" spans="1:14" x14ac:dyDescent="0.3">
      <c r="A137" t="s">
        <v>439</v>
      </c>
      <c r="B137" t="s">
        <v>440</v>
      </c>
      <c r="C137" t="s">
        <v>441</v>
      </c>
      <c r="D137" t="s">
        <v>34</v>
      </c>
      <c r="E137" t="s">
        <v>455</v>
      </c>
      <c r="F137">
        <v>30</v>
      </c>
      <c r="J137" t="s">
        <v>547</v>
      </c>
      <c r="K137" t="s">
        <v>548</v>
      </c>
      <c r="L137" t="s">
        <v>456</v>
      </c>
      <c r="M137">
        <v>30</v>
      </c>
      <c r="N137" t="s">
        <v>490</v>
      </c>
    </row>
    <row r="138" spans="1:14" x14ac:dyDescent="0.3">
      <c r="A138" t="s">
        <v>443</v>
      </c>
      <c r="B138" t="s">
        <v>227</v>
      </c>
      <c r="C138" t="s">
        <v>228</v>
      </c>
      <c r="D138" t="s">
        <v>34</v>
      </c>
      <c r="E138" t="s">
        <v>452</v>
      </c>
      <c r="F138">
        <v>30</v>
      </c>
      <c r="J138" t="s">
        <v>549</v>
      </c>
      <c r="K138" t="s">
        <v>550</v>
      </c>
      <c r="L138" t="s">
        <v>453</v>
      </c>
      <c r="M138">
        <v>30</v>
      </c>
      <c r="N138" t="s">
        <v>490</v>
      </c>
    </row>
    <row r="139" spans="1:14" x14ac:dyDescent="0.3">
      <c r="A139" t="s">
        <v>444</v>
      </c>
      <c r="B139" t="s">
        <v>269</v>
      </c>
      <c r="C139" t="s">
        <v>270</v>
      </c>
      <c r="D139">
        <v>0</v>
      </c>
      <c r="E139" t="s">
        <v>458</v>
      </c>
      <c r="F139">
        <v>48</v>
      </c>
      <c r="J139" t="s">
        <v>444</v>
      </c>
      <c r="K139" t="s">
        <v>551</v>
      </c>
      <c r="L139" t="s">
        <v>459</v>
      </c>
      <c r="M139">
        <v>48</v>
      </c>
      <c r="N139" t="s">
        <v>490</v>
      </c>
    </row>
    <row r="140" spans="1:14" x14ac:dyDescent="0.3">
      <c r="A140" t="s">
        <v>444</v>
      </c>
      <c r="B140" t="s">
        <v>269</v>
      </c>
      <c r="C140" t="s">
        <v>270</v>
      </c>
      <c r="D140">
        <v>0</v>
      </c>
      <c r="E140" t="s">
        <v>470</v>
      </c>
      <c r="F140">
        <v>5</v>
      </c>
      <c r="J140" t="s">
        <v>444</v>
      </c>
      <c r="K140" t="s">
        <v>551</v>
      </c>
      <c r="L140" t="s">
        <v>471</v>
      </c>
      <c r="M140">
        <v>5</v>
      </c>
      <c r="N140" t="s">
        <v>490</v>
      </c>
    </row>
  </sheetData>
  <autoFilter ref="J1:N140" xr:uid="{83EB4D0E-FC6F-4A8A-9338-9E76A3C2947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23343-DF9A-40F7-9294-93D015B6F385}">
  <dimension ref="A1:G12"/>
  <sheetViews>
    <sheetView workbookViewId="0">
      <selection activeCell="C27" sqref="C27"/>
    </sheetView>
  </sheetViews>
  <sheetFormatPr defaultRowHeight="14.4" x14ac:dyDescent="0.3"/>
  <sheetData>
    <row r="1" spans="1:7" x14ac:dyDescent="0.3">
      <c r="A1" t="s">
        <v>445</v>
      </c>
      <c r="B1" t="s">
        <v>446</v>
      </c>
      <c r="C1" t="s">
        <v>447</v>
      </c>
      <c r="D1" t="s">
        <v>448</v>
      </c>
      <c r="E1" t="s">
        <v>449</v>
      </c>
      <c r="F1" t="s">
        <v>450</v>
      </c>
      <c r="G1" t="s">
        <v>451</v>
      </c>
    </row>
    <row r="2" spans="1:7" x14ac:dyDescent="0.3">
      <c r="A2" t="s">
        <v>452</v>
      </c>
      <c r="B2" t="s">
        <v>453</v>
      </c>
      <c r="C2" t="s">
        <v>454</v>
      </c>
      <c r="D2">
        <v>921</v>
      </c>
      <c r="E2">
        <v>0</v>
      </c>
      <c r="F2">
        <v>10548</v>
      </c>
      <c r="G2">
        <v>-9627</v>
      </c>
    </row>
    <row r="3" spans="1:7" x14ac:dyDescent="0.3">
      <c r="A3" t="s">
        <v>455</v>
      </c>
      <c r="B3" t="s">
        <v>456</v>
      </c>
      <c r="C3" t="s">
        <v>457</v>
      </c>
      <c r="D3">
        <v>392</v>
      </c>
      <c r="E3">
        <v>0</v>
      </c>
      <c r="F3">
        <v>2201</v>
      </c>
      <c r="G3">
        <v>-1809</v>
      </c>
    </row>
    <row r="4" spans="1:7" x14ac:dyDescent="0.3">
      <c r="A4" t="s">
        <v>458</v>
      </c>
      <c r="B4" t="s">
        <v>459</v>
      </c>
      <c r="C4" t="s">
        <v>460</v>
      </c>
      <c r="D4">
        <v>886</v>
      </c>
      <c r="E4">
        <v>0</v>
      </c>
      <c r="F4">
        <v>1073</v>
      </c>
      <c r="G4">
        <v>-187</v>
      </c>
    </row>
    <row r="5" spans="1:7" x14ac:dyDescent="0.3">
      <c r="A5" t="s">
        <v>461</v>
      </c>
      <c r="B5" t="s">
        <v>462</v>
      </c>
      <c r="C5" t="s">
        <v>463</v>
      </c>
      <c r="D5">
        <v>1934</v>
      </c>
      <c r="E5">
        <v>0</v>
      </c>
      <c r="F5">
        <v>4072</v>
      </c>
      <c r="G5">
        <v>-2138</v>
      </c>
    </row>
    <row r="6" spans="1:7" x14ac:dyDescent="0.3">
      <c r="A6" t="s">
        <v>464</v>
      </c>
      <c r="B6" t="s">
        <v>465</v>
      </c>
      <c r="C6" t="s">
        <v>466</v>
      </c>
      <c r="D6">
        <v>1862</v>
      </c>
      <c r="E6">
        <v>0</v>
      </c>
      <c r="F6">
        <v>4415</v>
      </c>
      <c r="G6">
        <v>-2553</v>
      </c>
    </row>
    <row r="7" spans="1:7" x14ac:dyDescent="0.3">
      <c r="A7" t="s">
        <v>467</v>
      </c>
      <c r="B7" t="s">
        <v>468</v>
      </c>
      <c r="C7" t="s">
        <v>469</v>
      </c>
      <c r="D7">
        <v>627</v>
      </c>
      <c r="E7">
        <v>0</v>
      </c>
      <c r="F7">
        <v>1099</v>
      </c>
      <c r="G7">
        <v>-472</v>
      </c>
    </row>
    <row r="8" spans="1:7" x14ac:dyDescent="0.3">
      <c r="A8" t="s">
        <v>470</v>
      </c>
      <c r="B8" t="s">
        <v>471</v>
      </c>
      <c r="C8" t="s">
        <v>472</v>
      </c>
      <c r="D8">
        <v>5</v>
      </c>
      <c r="E8">
        <v>0</v>
      </c>
      <c r="F8">
        <v>0</v>
      </c>
      <c r="G8">
        <v>5</v>
      </c>
    </row>
    <row r="9" spans="1:7" x14ac:dyDescent="0.3">
      <c r="A9" t="s">
        <v>473</v>
      </c>
      <c r="B9" t="s">
        <v>474</v>
      </c>
      <c r="C9" t="s">
        <v>475</v>
      </c>
      <c r="D9">
        <v>0</v>
      </c>
      <c r="E9">
        <v>0</v>
      </c>
      <c r="F9">
        <v>145</v>
      </c>
      <c r="G9">
        <v>-145</v>
      </c>
    </row>
    <row r="10" spans="1:7" x14ac:dyDescent="0.3">
      <c r="A10" t="s">
        <v>476</v>
      </c>
      <c r="B10" t="s">
        <v>477</v>
      </c>
      <c r="C10" t="s">
        <v>478</v>
      </c>
      <c r="D10">
        <v>0</v>
      </c>
      <c r="E10">
        <v>0</v>
      </c>
      <c r="F10">
        <v>440</v>
      </c>
      <c r="G10">
        <v>-440</v>
      </c>
    </row>
    <row r="11" spans="1:7" x14ac:dyDescent="0.3">
      <c r="A11" t="s">
        <v>479</v>
      </c>
      <c r="B11" t="s">
        <v>480</v>
      </c>
      <c r="C11" t="s">
        <v>481</v>
      </c>
      <c r="D11">
        <v>5</v>
      </c>
      <c r="E11">
        <v>0</v>
      </c>
      <c r="F11">
        <v>586</v>
      </c>
      <c r="G11">
        <v>-581</v>
      </c>
    </row>
    <row r="12" spans="1:7" x14ac:dyDescent="0.3">
      <c r="A12" t="s">
        <v>482</v>
      </c>
      <c r="B12" t="s">
        <v>483</v>
      </c>
      <c r="C12" t="s">
        <v>484</v>
      </c>
      <c r="D12">
        <v>5</v>
      </c>
      <c r="E12">
        <v>0</v>
      </c>
      <c r="F12">
        <v>250</v>
      </c>
      <c r="G12">
        <v>-245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(2)</vt:lpstr>
      <vt:lpstr>Sheet1</vt:lpstr>
      <vt:lpstr>plan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Elmorshedy</dc:creator>
  <cp:lastModifiedBy>FrontDoor-Moataz</cp:lastModifiedBy>
  <dcterms:created xsi:type="dcterms:W3CDTF">2025-02-15T15:10:57Z</dcterms:created>
  <dcterms:modified xsi:type="dcterms:W3CDTF">2025-09-01T15:24:14Z</dcterms:modified>
</cp:coreProperties>
</file>